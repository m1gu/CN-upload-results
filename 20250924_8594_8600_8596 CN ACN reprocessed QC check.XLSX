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bea4afec834e09a/TRABAJO/DATA ME/CN/"/>
    </mc:Choice>
  </mc:AlternateContent>
  <xr:revisionPtr revIDLastSave="16" documentId="8_{9163077C-6700-4BCA-9B67-CD5EC08950FA}" xr6:coauthVersionLast="47" xr6:coauthVersionMax="47" xr10:uidLastSave="{5C8911EF-094F-4285-B50E-535C86D5FABA}"/>
  <bookViews>
    <workbookView xWindow="-120" yWindow="-120" windowWidth="29040" windowHeight="15720" activeTab="4" xr2:uid="{00000000-000D-0000-FFFF-FFFF00000000}"/>
  </bookViews>
  <sheets>
    <sheet name="QC check" sheetId="6" r:id="rId1"/>
    <sheet name="Area check" sheetId="7" r:id="rId2"/>
    <sheet name="ISTD Variance" sheetId="8" r:id="rId3"/>
    <sheet name="Blank Spike Recovery" sheetId="9" r:id="rId4"/>
    <sheet name="Results Transfer" sheetId="10" r:id="rId5"/>
    <sheet name="RPD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8" l="1"/>
  <c r="F42" i="8"/>
  <c r="G41" i="8"/>
  <c r="F41" i="8"/>
  <c r="G40" i="8"/>
  <c r="F40" i="8"/>
  <c r="G39" i="8"/>
  <c r="F39" i="8"/>
  <c r="G38" i="8"/>
  <c r="F38" i="8"/>
  <c r="G37" i="8"/>
  <c r="F37" i="8"/>
  <c r="G36" i="8"/>
  <c r="F36" i="8"/>
  <c r="G35" i="8"/>
  <c r="F35" i="8"/>
  <c r="G34" i="8"/>
  <c r="F34" i="8"/>
  <c r="G33" i="8"/>
  <c r="F33" i="8"/>
  <c r="G32" i="8"/>
  <c r="F32" i="8"/>
  <c r="G31" i="8"/>
  <c r="F31" i="8"/>
  <c r="G30" i="8"/>
  <c r="F30" i="8"/>
  <c r="G29" i="8"/>
  <c r="F29" i="8"/>
  <c r="G28" i="8"/>
  <c r="F28" i="8"/>
  <c r="G27" i="8"/>
  <c r="F27" i="8"/>
  <c r="G26" i="8"/>
  <c r="F26" i="8"/>
  <c r="G25" i="8"/>
  <c r="F25" i="8"/>
  <c r="G24" i="8"/>
  <c r="F24" i="8"/>
  <c r="G23" i="8"/>
  <c r="F23" i="8"/>
  <c r="G22" i="8"/>
  <c r="F22" i="8"/>
  <c r="G21" i="8"/>
  <c r="F21" i="8"/>
  <c r="G20" i="8"/>
  <c r="F20" i="8"/>
  <c r="G19" i="8"/>
  <c r="F19" i="8"/>
  <c r="G18" i="8"/>
  <c r="F18" i="8"/>
  <c r="G17" i="8"/>
  <c r="F17" i="8"/>
  <c r="G16" i="8"/>
  <c r="F16" i="8"/>
  <c r="G15" i="8"/>
  <c r="F15" i="8"/>
  <c r="G14" i="8"/>
  <c r="F14" i="8"/>
  <c r="G13" i="8"/>
  <c r="F13" i="8"/>
  <c r="G12" i="8"/>
  <c r="F12" i="8"/>
  <c r="G11" i="8"/>
  <c r="F11" i="8"/>
  <c r="G10" i="8"/>
  <c r="F10" i="8"/>
  <c r="G9" i="8"/>
  <c r="F9" i="8"/>
  <c r="G8" i="8"/>
  <c r="F8" i="8"/>
  <c r="G7" i="8"/>
  <c r="F7" i="8"/>
  <c r="G6" i="8"/>
  <c r="F6" i="8"/>
  <c r="G5" i="8"/>
  <c r="F5" i="8"/>
  <c r="G4" i="8"/>
  <c r="F4" i="8"/>
  <c r="G3" i="8"/>
  <c r="F3" i="8"/>
  <c r="G2" i="8"/>
  <c r="F2" i="8"/>
  <c r="F4" i="9"/>
  <c r="F7" i="9"/>
  <c r="F15" i="9"/>
  <c r="F12" i="9"/>
  <c r="D4" i="9"/>
  <c r="D7" i="9"/>
  <c r="D15" i="9"/>
  <c r="D12" i="9"/>
  <c r="B4" i="9"/>
  <c r="B7" i="9"/>
  <c r="B15" i="9"/>
  <c r="B12" i="9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H44" i="6"/>
  <c r="AG44" i="6"/>
  <c r="AF44" i="6"/>
  <c r="AE44" i="6"/>
  <c r="AD44" i="6"/>
  <c r="AC44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44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H43" i="6"/>
  <c r="AG43" i="6"/>
  <c r="AF43" i="6"/>
  <c r="AE43" i="6"/>
  <c r="AD43" i="6"/>
  <c r="AC43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43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H42" i="6"/>
  <c r="AG42" i="6"/>
  <c r="AF42" i="6"/>
  <c r="AE42" i="6"/>
  <c r="AD42" i="6"/>
  <c r="AC42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42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41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H40" i="6"/>
  <c r="AG40" i="6"/>
  <c r="AF40" i="6"/>
  <c r="AE40" i="6"/>
  <c r="AD40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H39" i="6"/>
  <c r="AG39" i="6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39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H38" i="6"/>
  <c r="AG38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A38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H37" i="6"/>
  <c r="AG37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A37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H36" i="6"/>
  <c r="AG36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A36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35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A30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28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27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26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A25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</calcChain>
</file>

<file path=xl/sharedStrings.xml><?xml version="1.0" encoding="utf-8"?>
<sst xmlns="http://schemas.openxmlformats.org/spreadsheetml/2006/main" count="2225" uniqueCount="526">
  <si>
    <t>HPLC-ME-3</t>
  </si>
  <si>
    <t>Low CCV</t>
  </si>
  <si>
    <t>BS-CIPs-8594</t>
  </si>
  <si>
    <t>10.5000</t>
  </si>
  <si>
    <t>Dup-15042</t>
  </si>
  <si>
    <t>990.9000</t>
  </si>
  <si>
    <t>15042</t>
  </si>
  <si>
    <t>1021.0000</t>
  </si>
  <si>
    <t>15042-1</t>
  </si>
  <si>
    <t>1031.1000</t>
  </si>
  <si>
    <t>15042-2</t>
  </si>
  <si>
    <t>933.2000</t>
  </si>
  <si>
    <t>15043</t>
  </si>
  <si>
    <t>966.0000</t>
  </si>
  <si>
    <t>15043-1</t>
  </si>
  <si>
    <t>1071.7000</t>
  </si>
  <si>
    <t>15043-2</t>
  </si>
  <si>
    <t>1025.5000</t>
  </si>
  <si>
    <t>15044</t>
  </si>
  <si>
    <t>1086.2000</t>
  </si>
  <si>
    <t>15044-1</t>
  </si>
  <si>
    <t>1076.9000</t>
  </si>
  <si>
    <t>15044-2</t>
  </si>
  <si>
    <t>1046.2000</t>
  </si>
  <si>
    <t>15045</t>
  </si>
  <si>
    <t>937.6000</t>
  </si>
  <si>
    <t>15045-1</t>
  </si>
  <si>
    <t>997.4000</t>
  </si>
  <si>
    <t>15045-2</t>
  </si>
  <si>
    <t>962.8000</t>
  </si>
  <si>
    <t>15046</t>
  </si>
  <si>
    <t>996.0000</t>
  </si>
  <si>
    <t>15046-1</t>
  </si>
  <si>
    <t>974.2000</t>
  </si>
  <si>
    <t>15046-2</t>
  </si>
  <si>
    <t>981.0000</t>
  </si>
  <si>
    <t>15047</t>
  </si>
  <si>
    <t>925.2000</t>
  </si>
  <si>
    <t>15047-1</t>
  </si>
  <si>
    <t>918.6000</t>
  </si>
  <si>
    <t>15047-2</t>
  </si>
  <si>
    <t>946.4000</t>
  </si>
  <si>
    <t>BS-LDB-8600</t>
  </si>
  <si>
    <t>21.6000</t>
  </si>
  <si>
    <t>Dup-15049</t>
  </si>
  <si>
    <t>19403.5000</t>
  </si>
  <si>
    <t>15049</t>
  </si>
  <si>
    <t>19587.1000</t>
  </si>
  <si>
    <t>15049-1</t>
  </si>
  <si>
    <t>18821.6000</t>
  </si>
  <si>
    <t>15049-2</t>
  </si>
  <si>
    <t>19918.7000</t>
  </si>
  <si>
    <t>15050</t>
  </si>
  <si>
    <t>20451.5000</t>
  </si>
  <si>
    <t>15050-1</t>
  </si>
  <si>
    <t>19515.9000</t>
  </si>
  <si>
    <t>15050-2</t>
  </si>
  <si>
    <t>19543.0000</t>
  </si>
  <si>
    <t>15085</t>
  </si>
  <si>
    <t>20113.8000</t>
  </si>
  <si>
    <t>15086</t>
  </si>
  <si>
    <t>20643.1000</t>
  </si>
  <si>
    <t>BS-CIPs-8596</t>
  </si>
  <si>
    <t>10.2000</t>
  </si>
  <si>
    <t>Dup-15061</t>
  </si>
  <si>
    <t>924.2000</t>
  </si>
  <si>
    <t>15061</t>
  </si>
  <si>
    <t>1073.6000</t>
  </si>
  <si>
    <t>15061-1</t>
  </si>
  <si>
    <t>906.5000</t>
  </si>
  <si>
    <t>15061-2</t>
  </si>
  <si>
    <t>989.3000</t>
  </si>
  <si>
    <t>15063</t>
  </si>
  <si>
    <t>1041.1000</t>
  </si>
  <si>
    <t>High CCV Inj.
1</t>
  </si>
  <si>
    <t>Low CCV Inj.
1</t>
  </si>
  <si>
    <t>BS-CIPs-8594
Inj. 1</t>
  </si>
  <si>
    <t>Dup-15042
Inj. 1</t>
  </si>
  <si>
    <t>15042 Inj. 1</t>
  </si>
  <si>
    <t>15042-1 Inj. 1</t>
  </si>
  <si>
    <t>15042-2 Inj. 1</t>
  </si>
  <si>
    <t>15043 Inj. 1</t>
  </si>
  <si>
    <t>15043-1 Inj. 1</t>
  </si>
  <si>
    <t>15043-2 Inj. 1</t>
  </si>
  <si>
    <t>15044 Inj. 1</t>
  </si>
  <si>
    <t>15044-1 Inj. 1</t>
  </si>
  <si>
    <t>15044-2 Inj. 1</t>
  </si>
  <si>
    <t>15045 Inj. 1</t>
  </si>
  <si>
    <t>15045-1 Inj. 1</t>
  </si>
  <si>
    <t>15045-2 Inj. 1</t>
  </si>
  <si>
    <t>15046 Inj. 1</t>
  </si>
  <si>
    <t>15046-1 Inj. 1</t>
  </si>
  <si>
    <t>15046-2 Inj. 1</t>
  </si>
  <si>
    <t>15047 Inj. 1</t>
  </si>
  <si>
    <t>15047-1 Inj. 1</t>
  </si>
  <si>
    <t>15047-2 Inj. 1</t>
  </si>
  <si>
    <t>BS-LDB-8600
Inj. 1</t>
  </si>
  <si>
    <t>Dup-15049
Inj. 1</t>
  </si>
  <si>
    <t>15049 Inj. 1</t>
  </si>
  <si>
    <t>15049-1 Inj. 1</t>
  </si>
  <si>
    <t>15049-2 Inj. 1</t>
  </si>
  <si>
    <t>15050 Inj. 1</t>
  </si>
  <si>
    <t>15050-1 Inj. 1</t>
  </si>
  <si>
    <t>15050-2 Inj. 1</t>
  </si>
  <si>
    <t>15085 Inj. 1</t>
  </si>
  <si>
    <t>15086 Inj. 1</t>
  </si>
  <si>
    <t>BS-CIPs-8596
Inj. 1</t>
  </si>
  <si>
    <t>Dup-15061
Inj. 1</t>
  </si>
  <si>
    <t>15061 Inj. 1</t>
  </si>
  <si>
    <t>15061-1 Inj. 1</t>
  </si>
  <si>
    <t>15061-2 Inj. 1</t>
  </si>
  <si>
    <t>15063 Inj. 1</t>
  </si>
  <si>
    <t>Compou
nd
Amount</t>
  </si>
  <si>
    <t>0</t>
  </si>
  <si>
    <t>1.68</t>
  </si>
  <si>
    <t>BzP</t>
  </si>
  <si>
    <t>0.09631</t>
  </si>
  <si>
    <t>0.1046</t>
  </si>
  <si>
    <t>0.02900</t>
  </si>
  <si>
    <t>0.01641</t>
  </si>
  <si>
    <t>0.01695</t>
  </si>
  <si>
    <t>0.1071</t>
  </si>
  <si>
    <t>0.09930</t>
  </si>
  <si>
    <t>0.1082</t>
  </si>
  <si>
    <t>0.01366</t>
  </si>
  <si>
    <t>0.1009</t>
  </si>
  <si>
    <t>0.1084</t>
  </si>
  <si>
    <t>0.1011</t>
  </si>
  <si>
    <t>0.1087</t>
  </si>
  <si>
    <t>2.11</t>
  </si>
  <si>
    <t>CBDVA</t>
  </si>
  <si>
    <t>0.02905</t>
  </si>
  <si>
    <t>0.01368</t>
  </si>
  <si>
    <t>0.02843</t>
  </si>
  <si>
    <t>0.02794</t>
  </si>
  <si>
    <t>0.01940</t>
  </si>
  <si>
    <t>0.02779</t>
  </si>
  <si>
    <t>0.01343</t>
  </si>
  <si>
    <t>0.02776</t>
  </si>
  <si>
    <t>2.42</t>
  </si>
  <si>
    <t>CBDV</t>
  </si>
  <si>
    <t>0.02768</t>
  </si>
  <si>
    <t>0.02730</t>
  </si>
  <si>
    <t>0.02704</t>
  </si>
  <si>
    <t>0.01670</t>
  </si>
  <si>
    <t>0.004274</t>
  </si>
  <si>
    <t>0.004495</t>
  </si>
  <si>
    <t>0.003729</t>
  </si>
  <si>
    <t>0.02694</t>
  </si>
  <si>
    <t>0.02693</t>
  </si>
  <si>
    <t>3.13</t>
  </si>
  <si>
    <t>CBDA</t>
  </si>
  <si>
    <t>0.09858</t>
  </si>
  <si>
    <t>0.02773</t>
  </si>
  <si>
    <t>0.3054</t>
  </si>
  <si>
    <t>0.02714</t>
  </si>
  <si>
    <t>0.09664</t>
  </si>
  <si>
    <t>0.02666</t>
  </si>
  <si>
    <t>0.5525</t>
  </si>
  <si>
    <t>0.005386</t>
  </si>
  <si>
    <t>0.005109</t>
  </si>
  <si>
    <t>0.007200</t>
  </si>
  <si>
    <t>0.005500</t>
  </si>
  <si>
    <t>0.004200</t>
  </si>
  <si>
    <t>0.09484</t>
  </si>
  <si>
    <t>0.02652</t>
  </si>
  <si>
    <t>0.2960</t>
  </si>
  <si>
    <t>0.09451</t>
  </si>
  <si>
    <t>0.02648</t>
  </si>
  <si>
    <t>3.32</t>
  </si>
  <si>
    <t>CBGA</t>
  </si>
  <si>
    <t>0.02798</t>
  </si>
  <si>
    <t>0.01208</t>
  </si>
  <si>
    <t>0.01518</t>
  </si>
  <si>
    <t>0.01523</t>
  </si>
  <si>
    <t>0.01557</t>
  </si>
  <si>
    <t>0.01458</t>
  </si>
  <si>
    <t>0.01514</t>
  </si>
  <si>
    <t>0.01609</t>
  </si>
  <si>
    <t>0.01418</t>
  </si>
  <si>
    <t>0.01596</t>
  </si>
  <si>
    <t>0.01634</t>
  </si>
  <si>
    <t>0.01654</t>
  </si>
  <si>
    <t>0.01345</t>
  </si>
  <si>
    <t>0.02731</t>
  </si>
  <si>
    <t>0.01519</t>
  </si>
  <si>
    <t>0.01472</t>
  </si>
  <si>
    <t>0.01408</t>
  </si>
  <si>
    <t>0.01457</t>
  </si>
  <si>
    <t>0.01273</t>
  </si>
  <si>
    <t>0.01447</t>
  </si>
  <si>
    <t>0.01465</t>
  </si>
  <si>
    <t>0.02682</t>
  </si>
  <si>
    <t>0.01436</t>
  </si>
  <si>
    <t>0.02670</t>
  </si>
  <si>
    <t>0.01178</t>
  </si>
  <si>
    <t>3.69</t>
  </si>
  <si>
    <t>CBG</t>
  </si>
  <si>
    <t>0.02755</t>
  </si>
  <si>
    <t>0.01647</t>
  </si>
  <si>
    <t>0.1156</t>
  </si>
  <si>
    <t>0.1213</t>
  </si>
  <si>
    <t>0.1215</t>
  </si>
  <si>
    <t>0.1111</t>
  </si>
  <si>
    <t>0.1142</t>
  </si>
  <si>
    <t>0.1270</t>
  </si>
  <si>
    <t>0.1207</t>
  </si>
  <si>
    <t>0.1279</t>
  </si>
  <si>
    <t>0.1291</t>
  </si>
  <si>
    <t>0.1256</t>
  </si>
  <si>
    <t>0.1081</t>
  </si>
  <si>
    <t>0.02708</t>
  </si>
  <si>
    <t>0.1173</t>
  </si>
  <si>
    <t>0.1134</t>
  </si>
  <si>
    <t>0.1167</t>
  </si>
  <si>
    <t>0.1105</t>
  </si>
  <si>
    <t>0.1117</t>
  </si>
  <si>
    <t>0.1089</t>
  </si>
  <si>
    <t>0.1098</t>
  </si>
  <si>
    <t>0.1126</t>
  </si>
  <si>
    <t>0.02675</t>
  </si>
  <si>
    <t>0.02543</t>
  </si>
  <si>
    <t>0.1555</t>
  </si>
  <si>
    <t>0.1464</t>
  </si>
  <si>
    <t>0.1586</t>
  </si>
  <si>
    <t>0.1584</t>
  </si>
  <si>
    <t>0.01704</t>
  </si>
  <si>
    <t>0.01675</t>
  </si>
  <si>
    <t>0.01668</t>
  </si>
  <si>
    <t>0.02603</t>
  </si>
  <si>
    <t>0.07095</t>
  </si>
  <si>
    <t>0.02664</t>
  </si>
  <si>
    <t>0.1551</t>
  </si>
  <si>
    <t>0.1877</t>
  </si>
  <si>
    <t>0.1561</t>
  </si>
  <si>
    <t>0.1671</t>
  </si>
  <si>
    <t>0.09510</t>
  </si>
  <si>
    <t>3.93</t>
  </si>
  <si>
    <t>CBD</t>
  </si>
  <si>
    <t>0.1036</t>
  </si>
  <si>
    <t>0.02719</t>
  </si>
  <si>
    <t>0.4017</t>
  </si>
  <si>
    <t>0.02687</t>
  </si>
  <si>
    <t>0.1008</t>
  </si>
  <si>
    <t>0.02660</t>
  </si>
  <si>
    <t>0.8150</t>
  </si>
  <si>
    <t>0.01598</t>
  </si>
  <si>
    <t>0.01659</t>
  </si>
  <si>
    <t>0.01674</t>
  </si>
  <si>
    <t>0.006275</t>
  </si>
  <si>
    <t>0.01496</t>
  </si>
  <si>
    <t>0.09900</t>
  </si>
  <si>
    <t>0.3821</t>
  </si>
  <si>
    <t>0.09871</t>
  </si>
  <si>
    <t>4.19</t>
  </si>
  <si>
    <t>THCV</t>
  </si>
  <si>
    <t>0.001219</t>
  </si>
  <si>
    <t>0.02748</t>
  </si>
  <si>
    <t>0.02787</t>
  </si>
  <si>
    <t>0.02786</t>
  </si>
  <si>
    <t>0.02613</t>
  </si>
  <si>
    <t>0.02745</t>
  </si>
  <si>
    <t>0.02863</t>
  </si>
  <si>
    <t>0.02749</t>
  </si>
  <si>
    <t>0.02945</t>
  </si>
  <si>
    <t>0.03128</t>
  </si>
  <si>
    <t>0.02942</t>
  </si>
  <si>
    <t>0.02523</t>
  </si>
  <si>
    <t>0.02729</t>
  </si>
  <si>
    <t>0.02538</t>
  </si>
  <si>
    <t>0.02624</t>
  </si>
  <si>
    <t>0.02657</t>
  </si>
  <si>
    <t>0.02567</t>
  </si>
  <si>
    <t>0.02548</t>
  </si>
  <si>
    <t>0.02453</t>
  </si>
  <si>
    <t>0.02564</t>
  </si>
  <si>
    <t>0.02626</t>
  </si>
  <si>
    <t>0.0009110</t>
  </si>
  <si>
    <t>0.02717</t>
  </si>
  <si>
    <t>0.01007</t>
  </si>
  <si>
    <t>0.03078</t>
  </si>
  <si>
    <t>0.02884</t>
  </si>
  <si>
    <t>0.03114</t>
  </si>
  <si>
    <t>0.03142</t>
  </si>
  <si>
    <t>0.004104</t>
  </si>
  <si>
    <t>0.008306</t>
  </si>
  <si>
    <t>0.02085</t>
  </si>
  <si>
    <t>0.0008100</t>
  </si>
  <si>
    <t>0.02706</t>
  </si>
  <si>
    <t>0.02015</t>
  </si>
  <si>
    <t>0.02370</t>
  </si>
  <si>
    <t>0.02119</t>
  </si>
  <si>
    <t>0.02135</t>
  </si>
  <si>
    <t>0.02228</t>
  </si>
  <si>
    <t>0.0007622</t>
  </si>
  <si>
    <t>0.02715</t>
  </si>
  <si>
    <t>5.30</t>
  </si>
  <si>
    <t>THCVA</t>
  </si>
  <si>
    <t>0.02775</t>
  </si>
  <si>
    <t>0.02723</t>
  </si>
  <si>
    <t>0.02679</t>
  </si>
  <si>
    <t>0.004684</t>
  </si>
  <si>
    <t>0.0004879</t>
  </si>
  <si>
    <t>0.0005136</t>
  </si>
  <si>
    <t>5.56</t>
  </si>
  <si>
    <t>CBCV</t>
  </si>
  <si>
    <t>0.02829</t>
  </si>
  <si>
    <t>0.02792</t>
  </si>
  <si>
    <t>0.02760</t>
  </si>
  <si>
    <t>0.02765</t>
  </si>
  <si>
    <t>6.11</t>
  </si>
  <si>
    <t>CBN</t>
  </si>
  <si>
    <t>0.09567</t>
  </si>
  <si>
    <t>0.02419</t>
  </si>
  <si>
    <t>0.02505</t>
  </si>
  <si>
    <t>0.02247</t>
  </si>
  <si>
    <t>0.02183</t>
  </si>
  <si>
    <t>0.02412</t>
  </si>
  <si>
    <t>0.02443</t>
  </si>
  <si>
    <t>0.02239</t>
  </si>
  <si>
    <t>0.02582</t>
  </si>
  <si>
    <t>0.02477</t>
  </si>
  <si>
    <t>0.02420</t>
  </si>
  <si>
    <t>0.02086</t>
  </si>
  <si>
    <t>0.02698</t>
  </si>
  <si>
    <t>0.02177</t>
  </si>
  <si>
    <t>0.02046</t>
  </si>
  <si>
    <t>0.02131</t>
  </si>
  <si>
    <t>0.02029</t>
  </si>
  <si>
    <t>0.02077</t>
  </si>
  <si>
    <t>0.02044</t>
  </si>
  <si>
    <t>0.02133</t>
  </si>
  <si>
    <t>0.09375</t>
  </si>
  <si>
    <t>0.02676</t>
  </si>
  <si>
    <t>0.007984</t>
  </si>
  <si>
    <t>0.05197</t>
  </si>
  <si>
    <t>0.04887</t>
  </si>
  <si>
    <t>0.05280</t>
  </si>
  <si>
    <t>0.05288</t>
  </si>
  <si>
    <t>0.006782</t>
  </si>
  <si>
    <t>0.006651</t>
  </si>
  <si>
    <t>0.006891</t>
  </si>
  <si>
    <t>0.01414</t>
  </si>
  <si>
    <t>0.03682</t>
  </si>
  <si>
    <t>0.09257</t>
  </si>
  <si>
    <t>0.02668</t>
  </si>
  <si>
    <t>0.03012</t>
  </si>
  <si>
    <t>0.03464</t>
  </si>
  <si>
    <t>0.02992</t>
  </si>
  <si>
    <t>0.03261</t>
  </si>
  <si>
    <t>0.01479</t>
  </si>
  <si>
    <t>0.09253</t>
  </si>
  <si>
    <t>7.39</t>
  </si>
  <si>
    <t>BDTBP</t>
  </si>
  <si>
    <t>0.1000</t>
  </si>
  <si>
    <t>7.68</t>
  </si>
  <si>
    <t>D9-THC</t>
  </si>
  <si>
    <t>0.09508</t>
  </si>
  <si>
    <t>0.02727</t>
  </si>
  <si>
    <t>0.2936</t>
  </si>
  <si>
    <t>3.031</t>
  </si>
  <si>
    <t>3.135</t>
  </si>
  <si>
    <t>3.114</t>
  </si>
  <si>
    <t>2.852</t>
  </si>
  <si>
    <t>2.974</t>
  </si>
  <si>
    <t>3.292</t>
  </si>
  <si>
    <t>3.065</t>
  </si>
  <si>
    <t>3.304</t>
  </si>
  <si>
    <t>3.336</t>
  </si>
  <si>
    <t>3.279</t>
  </si>
  <si>
    <t>2.818</t>
  </si>
  <si>
    <t>0.02688</t>
  </si>
  <si>
    <t>3.083</t>
  </si>
  <si>
    <t>2.940</t>
  </si>
  <si>
    <t>3.005</t>
  </si>
  <si>
    <t>2.882</t>
  </si>
  <si>
    <t>2.879</t>
  </si>
  <si>
    <t>2.771</t>
  </si>
  <si>
    <t>2.849</t>
  </si>
  <si>
    <t>2.922</t>
  </si>
  <si>
    <t>0.09255</t>
  </si>
  <si>
    <t>0.02669</t>
  </si>
  <si>
    <t>0.6088</t>
  </si>
  <si>
    <t>5.326</t>
  </si>
  <si>
    <t>5.005</t>
  </si>
  <si>
    <t>5.408</t>
  </si>
  <si>
    <t>5.405</t>
  </si>
  <si>
    <t>0.5745</t>
  </si>
  <si>
    <t>0.5536</t>
  </si>
  <si>
    <t>0.5510</t>
  </si>
  <si>
    <t>1.185</t>
  </si>
  <si>
    <t>3.181</t>
  </si>
  <si>
    <t>0.09122</t>
  </si>
  <si>
    <t>0.02661</t>
  </si>
  <si>
    <t>0.2799</t>
  </si>
  <si>
    <t>3.377</t>
  </si>
  <si>
    <t>4.029</t>
  </si>
  <si>
    <t>3.341</t>
  </si>
  <si>
    <t>3.653</t>
  </si>
  <si>
    <t>3.610</t>
  </si>
  <si>
    <t>0.09117</t>
  </si>
  <si>
    <t>0.02659</t>
  </si>
  <si>
    <t>7.95</t>
  </si>
  <si>
    <t>D8-THC</t>
  </si>
  <si>
    <t>0.0007395</t>
  </si>
  <si>
    <t>0.02751</t>
  </si>
  <si>
    <t>0.02705</t>
  </si>
  <si>
    <t>0.0006818</t>
  </si>
  <si>
    <t>0.02686</t>
  </si>
  <si>
    <t>0.03271</t>
  </si>
  <si>
    <t>0.1048</t>
  </si>
  <si>
    <t>0.0006568</t>
  </si>
  <si>
    <t>0.0006593</t>
  </si>
  <si>
    <t>0.02674</t>
  </si>
  <si>
    <t>8.75</t>
  </si>
  <si>
    <t>CBL</t>
  </si>
  <si>
    <t>0.02294</t>
  </si>
  <si>
    <t>0.02248</t>
  </si>
  <si>
    <t>0.02223</t>
  </si>
  <si>
    <t>0.02218</t>
  </si>
  <si>
    <t>0.02216</t>
  </si>
  <si>
    <t>9.00</t>
  </si>
  <si>
    <t>THCA</t>
  </si>
  <si>
    <t>0.09096</t>
  </si>
  <si>
    <t>0.02810</t>
  </si>
  <si>
    <t>0.2937</t>
  </si>
  <si>
    <t>0.09018</t>
  </si>
  <si>
    <t>0.02709</t>
  </si>
  <si>
    <t>0.4860</t>
  </si>
  <si>
    <t>0.01098</t>
  </si>
  <si>
    <t>0.08865</t>
  </si>
  <si>
    <t>0.2840</t>
  </si>
  <si>
    <t>0.08846</t>
  </si>
  <si>
    <t>9.19</t>
  </si>
  <si>
    <t>CBC</t>
  </si>
  <si>
    <t>0.02742</t>
  </si>
  <si>
    <t>0.04880</t>
  </si>
  <si>
    <t>0.05027</t>
  </si>
  <si>
    <t>0.04446</t>
  </si>
  <si>
    <t>0.04179</t>
  </si>
  <si>
    <t>0.04292</t>
  </si>
  <si>
    <t>0.04672</t>
  </si>
  <si>
    <t>0.04420</t>
  </si>
  <si>
    <t>0.05239</t>
  </si>
  <si>
    <t>0.04712</t>
  </si>
  <si>
    <t>0.04652</t>
  </si>
  <si>
    <t>0.04148</t>
  </si>
  <si>
    <t>0.02702</t>
  </si>
  <si>
    <t>0.04436</t>
  </si>
  <si>
    <t>0.04297</t>
  </si>
  <si>
    <t>0.04410</t>
  </si>
  <si>
    <t>0.04232</t>
  </si>
  <si>
    <t>0.04236</t>
  </si>
  <si>
    <t>0.04129</t>
  </si>
  <si>
    <t>0.04158</t>
  </si>
  <si>
    <t>0.04269</t>
  </si>
  <si>
    <t>0.02678</t>
  </si>
  <si>
    <t>0.01481</t>
  </si>
  <si>
    <t>0.01407</t>
  </si>
  <si>
    <t>0.01492</t>
  </si>
  <si>
    <t>0.01485</t>
  </si>
  <si>
    <t>0.02761</t>
  </si>
  <si>
    <t>0.02671</t>
  </si>
  <si>
    <t>0.05421</t>
  </si>
  <si>
    <t>0.06308</t>
  </si>
  <si>
    <t>0.05375</t>
  </si>
  <si>
    <t>0.05812</t>
  </si>
  <si>
    <t>0.05647</t>
  </si>
  <si>
    <t>9.77</t>
  </si>
  <si>
    <t>CBCA</t>
  </si>
  <si>
    <t>0.02767</t>
  </si>
  <si>
    <t>0.02712</t>
  </si>
  <si>
    <t>0.02655</t>
  </si>
  <si>
    <t>0.02647</t>
  </si>
  <si>
    <t>9.96</t>
  </si>
  <si>
    <t>CBLA</t>
  </si>
  <si>
    <t>0.02753</t>
  </si>
  <si>
    <t>0.02692</t>
  </si>
  <si>
    <t>0.02649</t>
  </si>
  <si>
    <t>0.02635</t>
  </si>
  <si>
    <t>11.13</t>
  </si>
  <si>
    <t>CBT</t>
  </si>
  <si>
    <t>0.02916</t>
  </si>
  <si>
    <t>0.02894</t>
  </si>
  <si>
    <t>0.02873</t>
  </si>
  <si>
    <t>0.005396</t>
  </si>
  <si>
    <t>0.05453</t>
  </si>
  <si>
    <t>0.05234</t>
  </si>
  <si>
    <t>0.05615</t>
  </si>
  <si>
    <t>0.05627</t>
  </si>
  <si>
    <t>0.005874</t>
  </si>
  <si>
    <t>0.02893</t>
  </si>
  <si>
    <t>0.02861</t>
  </si>
  <si>
    <t>Area</t>
  </si>
  <si>
    <t>SAMPLE</t>
  </si>
  <si>
    <t>BDTBP Amount</t>
  </si>
  <si>
    <t>BDTBP Area</t>
  </si>
  <si>
    <t>BzP Area</t>
  </si>
  <si>
    <t>DILUTION</t>
  </si>
  <si>
    <t>SURROGATE VARIANCE</t>
  </si>
  <si>
    <t>ISTD VARIANCE</t>
  </si>
  <si>
    <t>Low CCV Inj.1</t>
  </si>
  <si>
    <t>BS-CIPs-8594Inj. 1</t>
  </si>
  <si>
    <t>Dup-15042Inj. 1</t>
  </si>
  <si>
    <t>BS-LDB-8600Inj. 1</t>
  </si>
  <si>
    <t>Dup-15049Inj. 1</t>
  </si>
  <si>
    <t>BS-CIPs-8596Inj. 1</t>
  </si>
  <si>
    <t>Dup-15061Inj. 1</t>
  </si>
  <si>
    <t>Instrument</t>
  </si>
  <si>
    <t>BzP Nominal</t>
  </si>
  <si>
    <t>BDTBP Nominal</t>
  </si>
  <si>
    <t>Analyte</t>
  </si>
  <si>
    <t>Dup Injection 1</t>
  </si>
  <si>
    <t>Dup Injection 2</t>
  </si>
  <si>
    <t>Value 1</t>
  </si>
  <si>
    <t>Value 2</t>
  </si>
  <si>
    <t>Weight 1</t>
  </si>
  <si>
    <t>Weight 2</t>
  </si>
  <si>
    <t>Val1/Wt1</t>
  </si>
  <si>
    <t>Val2/Wt2</t>
  </si>
  <si>
    <t>RPD (%)</t>
  </si>
  <si>
    <t>Result</t>
  </si>
  <si>
    <t>15042 Inj</t>
  </si>
  <si>
    <t>Pass</t>
  </si>
  <si>
    <t>15049 Inj</t>
  </si>
  <si>
    <t>15061 Inj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</si>
</sst>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Arial"/>
    </font>
    <font>
      <b/>
      <sz val="8"/>
      <color rgb="FF1E90FF"/>
      <name val="Arial"/>
    </font>
    <font>
      <sz val="8"/>
      <color rgb="FF000000"/>
      <name val="Arial"/>
    </font>
    <font>
      <sz val="11"/>
      <name val="Arial"/>
    </font>
    <font>
      <b/>
      <sz val="11"/>
      <name val="Arial"/>
      <family val="2"/>
    </font>
    <font>
      <sz val="9"/>
      <color rgb="FF1F1F1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0EE9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right" vertical="top" wrapText="1"/>
    </xf>
    <xf numFmtId="0" fontId="1" fillId="0" borderId="0" xfId="0" applyFont="1" applyAlignment="1">
      <alignment horizontal="left" vertical="top" wrapText="1"/>
    </xf>
    <xf numFmtId="0" fontId="0" fillId="0" borderId="0" xfId="0"/>
    <xf numFmtId="0" fontId="2" fillId="0" borderId="0" xfId="0" applyFont="1" applyAlignment="1">
      <alignment horizontal="left" vertical="top" wrapText="1"/>
    </xf>
    <xf numFmtId="9" fontId="0" fillId="0" borderId="0" xfId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 vertical="top" wrapText="1"/>
    </xf>
    <xf numFmtId="9" fontId="0" fillId="0" borderId="0" xfId="1" applyFont="1" applyAlignment="1">
      <alignment horizontal="center"/>
    </xf>
    <xf numFmtId="0" fontId="0" fillId="2" borderId="0" xfId="0" applyFill="1"/>
    <xf numFmtId="0" fontId="5" fillId="0" borderId="0" xfId="0" applyFont="1"/>
  </cellXfs>
  <cellStyles count="2">
    <cellStyle name="Normal" xfId="0" builtinId="0"/>
    <cellStyle name="Percent" xfId="1" builtinId="5"/>
  </cellStyles>
  <dxfs count="2809"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006100"/>
      </font>
      <fill>
        <patternFill>
          <fgColor indexed="64"/>
          <bgColor rgb="FFC6EF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ustomTheme">
  <a:themeElements>
    <a:clrScheme name="CustomColorThem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0000"/>
      </a:accent1>
      <a:accent2>
        <a:srgbClr val="000000"/>
      </a:accent2>
      <a:accent3>
        <a:srgbClr val="000000"/>
      </a:accent3>
      <a:accent4>
        <a:srgbClr val="000000"/>
      </a:accent4>
      <a:accent5>
        <a:srgbClr val="000000"/>
      </a:accent5>
      <a:accent6>
        <a:srgbClr val="000000"/>
      </a:accent6>
      <a:hlink>
        <a:srgbClr val="7F7F7F"/>
      </a:hlink>
      <a:folHlink>
        <a:srgbClr val="7F7F7F"/>
      </a:folHlink>
    </a:clrScheme>
    <a:fontScheme name="CustomFontTheme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CustomFormatSc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19686-0E02-47AF-B544-7F30875172BA}">
  <dimension ref="A1:AV44"/>
  <sheetViews>
    <sheetView topLeftCell="AA11" workbookViewId="0">
      <selection sqref="A1:XFD21"/>
    </sheetView>
  </sheetViews>
  <sheetFormatPr defaultRowHeight="14.25" x14ac:dyDescent="0.2"/>
  <cols>
    <col min="2" max="2" width="18" customWidth="1"/>
    <col min="3" max="3" width="7.5" customWidth="1"/>
    <col min="4" max="48" width="10.5" customWidth="1"/>
  </cols>
  <sheetData>
    <row r="1" spans="1:48" ht="12.95" customHeight="1" x14ac:dyDescent="0.2">
      <c r="A1" s="5"/>
      <c r="B1" s="5"/>
      <c r="C1" s="5"/>
      <c r="D1" s="4" t="s">
        <v>74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81</v>
      </c>
      <c r="L1" s="4" t="s">
        <v>82</v>
      </c>
      <c r="M1" s="4" t="s">
        <v>83</v>
      </c>
      <c r="N1" s="4" t="s">
        <v>84</v>
      </c>
      <c r="O1" s="4" t="s">
        <v>85</v>
      </c>
      <c r="P1" s="4" t="s">
        <v>86</v>
      </c>
      <c r="Q1" s="4" t="s">
        <v>87</v>
      </c>
      <c r="R1" s="4" t="s">
        <v>75</v>
      </c>
      <c r="S1" s="4" t="s">
        <v>88</v>
      </c>
      <c r="T1" s="4" t="s">
        <v>89</v>
      </c>
      <c r="U1" s="4" t="s">
        <v>90</v>
      </c>
      <c r="V1" s="4" t="s">
        <v>91</v>
      </c>
      <c r="W1" s="4" t="s">
        <v>92</v>
      </c>
      <c r="X1" s="4" t="s">
        <v>93</v>
      </c>
      <c r="Y1" s="4" t="s">
        <v>94</v>
      </c>
      <c r="Z1" s="4" t="s">
        <v>95</v>
      </c>
      <c r="AA1" s="4" t="s">
        <v>74</v>
      </c>
      <c r="AB1" s="4" t="s">
        <v>75</v>
      </c>
      <c r="AC1" s="4" t="s">
        <v>96</v>
      </c>
      <c r="AD1" s="4" t="s">
        <v>97</v>
      </c>
      <c r="AE1" s="4" t="s">
        <v>98</v>
      </c>
      <c r="AF1" s="4" t="s">
        <v>99</v>
      </c>
      <c r="AG1" s="4" t="s">
        <v>100</v>
      </c>
      <c r="AH1" s="4" t="s">
        <v>101</v>
      </c>
      <c r="AI1" s="4" t="s">
        <v>102</v>
      </c>
      <c r="AJ1" s="4" t="s">
        <v>103</v>
      </c>
      <c r="AK1" s="4" t="s">
        <v>104</v>
      </c>
      <c r="AL1" s="4" t="s">
        <v>105</v>
      </c>
      <c r="AM1" s="4" t="s">
        <v>74</v>
      </c>
      <c r="AN1" s="4" t="s">
        <v>75</v>
      </c>
      <c r="AO1" s="4" t="s">
        <v>106</v>
      </c>
      <c r="AP1" s="4" t="s">
        <v>107</v>
      </c>
      <c r="AQ1" s="4" t="s">
        <v>108</v>
      </c>
      <c r="AR1" s="4" t="s">
        <v>109</v>
      </c>
      <c r="AS1" s="4" t="s">
        <v>110</v>
      </c>
      <c r="AT1" s="4" t="s">
        <v>111</v>
      </c>
      <c r="AU1" s="4" t="s">
        <v>74</v>
      </c>
      <c r="AV1" s="4" t="s">
        <v>75</v>
      </c>
    </row>
    <row r="2" spans="1:48" ht="12.95" customHeight="1" x14ac:dyDescent="0.2">
      <c r="A2" s="4" t="s">
        <v>129</v>
      </c>
      <c r="B2" s="4" t="s">
        <v>130</v>
      </c>
      <c r="C2" s="3" t="s">
        <v>112</v>
      </c>
      <c r="D2" s="1" t="s">
        <v>113</v>
      </c>
      <c r="E2" s="1" t="s">
        <v>131</v>
      </c>
      <c r="F2" s="1" t="s">
        <v>132</v>
      </c>
      <c r="G2" s="1" t="s">
        <v>113</v>
      </c>
      <c r="H2" s="1" t="s">
        <v>113</v>
      </c>
      <c r="I2" s="1" t="s">
        <v>113</v>
      </c>
      <c r="J2" s="1" t="s">
        <v>113</v>
      </c>
      <c r="K2" s="1" t="s">
        <v>113</v>
      </c>
      <c r="L2" s="1" t="s">
        <v>113</v>
      </c>
      <c r="M2" s="1" t="s">
        <v>113</v>
      </c>
      <c r="N2" s="1" t="s">
        <v>113</v>
      </c>
      <c r="O2" s="1" t="s">
        <v>113</v>
      </c>
      <c r="P2" s="1" t="s">
        <v>113</v>
      </c>
      <c r="Q2" s="1" t="s">
        <v>113</v>
      </c>
      <c r="R2" s="1" t="s">
        <v>133</v>
      </c>
      <c r="S2" s="1" t="s">
        <v>113</v>
      </c>
      <c r="T2" s="1" t="s">
        <v>113</v>
      </c>
      <c r="U2" s="1" t="s">
        <v>113</v>
      </c>
      <c r="V2" s="1" t="s">
        <v>113</v>
      </c>
      <c r="W2" s="1" t="s">
        <v>113</v>
      </c>
      <c r="X2" s="1" t="s">
        <v>113</v>
      </c>
      <c r="Y2" s="1" t="s">
        <v>113</v>
      </c>
      <c r="Z2" s="1" t="s">
        <v>113</v>
      </c>
      <c r="AA2" s="1" t="s">
        <v>113</v>
      </c>
      <c r="AB2" s="1" t="s">
        <v>134</v>
      </c>
      <c r="AC2" s="1" t="s">
        <v>135</v>
      </c>
      <c r="AD2" s="1" t="s">
        <v>113</v>
      </c>
      <c r="AE2" s="1" t="s">
        <v>113</v>
      </c>
      <c r="AF2" s="1" t="s">
        <v>113</v>
      </c>
      <c r="AG2" s="1" t="s">
        <v>113</v>
      </c>
      <c r="AH2" s="1" t="s">
        <v>113</v>
      </c>
      <c r="AI2" s="1" t="s">
        <v>113</v>
      </c>
      <c r="AJ2" s="1" t="s">
        <v>113</v>
      </c>
      <c r="AK2" s="1" t="s">
        <v>113</v>
      </c>
      <c r="AL2" s="1" t="s">
        <v>113</v>
      </c>
      <c r="AM2" s="1" t="s">
        <v>113</v>
      </c>
      <c r="AN2" s="1" t="s">
        <v>136</v>
      </c>
      <c r="AO2" s="1" t="s">
        <v>137</v>
      </c>
      <c r="AP2" s="1" t="s">
        <v>113</v>
      </c>
      <c r="AQ2" s="1" t="s">
        <v>113</v>
      </c>
      <c r="AR2" s="1" t="s">
        <v>113</v>
      </c>
      <c r="AS2" s="1" t="s">
        <v>113</v>
      </c>
      <c r="AT2" s="1" t="s">
        <v>113</v>
      </c>
      <c r="AU2" s="1" t="s">
        <v>113</v>
      </c>
      <c r="AV2" s="1" t="s">
        <v>138</v>
      </c>
    </row>
    <row r="3" spans="1:48" ht="12.95" customHeight="1" x14ac:dyDescent="0.2">
      <c r="A3" s="4" t="s">
        <v>139</v>
      </c>
      <c r="B3" s="4" t="s">
        <v>140</v>
      </c>
      <c r="C3" s="3" t="s">
        <v>112</v>
      </c>
      <c r="D3" s="1" t="s">
        <v>113</v>
      </c>
      <c r="E3" s="1" t="s">
        <v>141</v>
      </c>
      <c r="F3" s="1" t="s">
        <v>113</v>
      </c>
      <c r="G3" s="1" t="s">
        <v>113</v>
      </c>
      <c r="H3" s="1" t="s">
        <v>113</v>
      </c>
      <c r="I3" s="1" t="s">
        <v>113</v>
      </c>
      <c r="J3" s="1" t="s">
        <v>113</v>
      </c>
      <c r="K3" s="1" t="s">
        <v>113</v>
      </c>
      <c r="L3" s="1" t="s">
        <v>113</v>
      </c>
      <c r="M3" s="1" t="s">
        <v>113</v>
      </c>
      <c r="N3" s="1" t="s">
        <v>113</v>
      </c>
      <c r="O3" s="1" t="s">
        <v>113</v>
      </c>
      <c r="P3" s="1" t="s">
        <v>113</v>
      </c>
      <c r="Q3" s="1" t="s">
        <v>113</v>
      </c>
      <c r="R3" s="1" t="s">
        <v>142</v>
      </c>
      <c r="S3" s="1" t="s">
        <v>113</v>
      </c>
      <c r="T3" s="1" t="s">
        <v>113</v>
      </c>
      <c r="U3" s="1" t="s">
        <v>113</v>
      </c>
      <c r="V3" s="1" t="s">
        <v>113</v>
      </c>
      <c r="W3" s="1" t="s">
        <v>113</v>
      </c>
      <c r="X3" s="1" t="s">
        <v>113</v>
      </c>
      <c r="Y3" s="1" t="s">
        <v>113</v>
      </c>
      <c r="Z3" s="1" t="s">
        <v>113</v>
      </c>
      <c r="AA3" s="1" t="s">
        <v>113</v>
      </c>
      <c r="AB3" s="1" t="s">
        <v>143</v>
      </c>
      <c r="AC3" s="1" t="s">
        <v>144</v>
      </c>
      <c r="AD3" s="1" t="s">
        <v>113</v>
      </c>
      <c r="AE3" s="1" t="s">
        <v>145</v>
      </c>
      <c r="AF3" s="1" t="s">
        <v>146</v>
      </c>
      <c r="AG3" s="1" t="s">
        <v>147</v>
      </c>
      <c r="AH3" s="1" t="s">
        <v>113</v>
      </c>
      <c r="AI3" s="1" t="s">
        <v>113</v>
      </c>
      <c r="AJ3" s="1" t="s">
        <v>113</v>
      </c>
      <c r="AK3" s="1" t="s">
        <v>113</v>
      </c>
      <c r="AL3" s="1" t="s">
        <v>113</v>
      </c>
      <c r="AM3" s="1" t="s">
        <v>113</v>
      </c>
      <c r="AN3" s="1" t="s">
        <v>148</v>
      </c>
      <c r="AO3" s="1" t="s">
        <v>113</v>
      </c>
      <c r="AP3" s="1" t="s">
        <v>113</v>
      </c>
      <c r="AQ3" s="1" t="s">
        <v>113</v>
      </c>
      <c r="AR3" s="1" t="s">
        <v>113</v>
      </c>
      <c r="AS3" s="1" t="s">
        <v>113</v>
      </c>
      <c r="AT3" s="1" t="s">
        <v>113</v>
      </c>
      <c r="AU3" s="1" t="s">
        <v>113</v>
      </c>
      <c r="AV3" s="1" t="s">
        <v>149</v>
      </c>
    </row>
    <row r="4" spans="1:48" ht="12.95" customHeight="1" x14ac:dyDescent="0.2">
      <c r="A4" s="4" t="s">
        <v>150</v>
      </c>
      <c r="B4" s="4" t="s">
        <v>151</v>
      </c>
      <c r="C4" s="3" t="s">
        <v>112</v>
      </c>
      <c r="D4" s="1" t="s">
        <v>152</v>
      </c>
      <c r="E4" s="1" t="s">
        <v>153</v>
      </c>
      <c r="F4" s="1" t="s">
        <v>154</v>
      </c>
      <c r="G4" s="1" t="s">
        <v>113</v>
      </c>
      <c r="H4" s="1" t="s">
        <v>113</v>
      </c>
      <c r="I4" s="1" t="s">
        <v>113</v>
      </c>
      <c r="J4" s="1" t="s">
        <v>113</v>
      </c>
      <c r="K4" s="1" t="s">
        <v>113</v>
      </c>
      <c r="L4" s="1" t="s">
        <v>113</v>
      </c>
      <c r="M4" s="1" t="s">
        <v>113</v>
      </c>
      <c r="N4" s="1" t="s">
        <v>113</v>
      </c>
      <c r="O4" s="1" t="s">
        <v>113</v>
      </c>
      <c r="P4" s="1" t="s">
        <v>113</v>
      </c>
      <c r="Q4" s="1" t="s">
        <v>113</v>
      </c>
      <c r="R4" s="1" t="s">
        <v>155</v>
      </c>
      <c r="S4" s="1" t="s">
        <v>113</v>
      </c>
      <c r="T4" s="1" t="s">
        <v>113</v>
      </c>
      <c r="U4" s="1" t="s">
        <v>113</v>
      </c>
      <c r="V4" s="1" t="s">
        <v>113</v>
      </c>
      <c r="W4" s="1" t="s">
        <v>113</v>
      </c>
      <c r="X4" s="1" t="s">
        <v>113</v>
      </c>
      <c r="Y4" s="1" t="s">
        <v>113</v>
      </c>
      <c r="Z4" s="1" t="s">
        <v>113</v>
      </c>
      <c r="AA4" s="1" t="s">
        <v>156</v>
      </c>
      <c r="AB4" s="1" t="s">
        <v>157</v>
      </c>
      <c r="AC4" s="1" t="s">
        <v>158</v>
      </c>
      <c r="AD4" s="1" t="s">
        <v>159</v>
      </c>
      <c r="AE4" s="1" t="s">
        <v>160</v>
      </c>
      <c r="AF4" s="1" t="s">
        <v>161</v>
      </c>
      <c r="AG4" s="1" t="s">
        <v>162</v>
      </c>
      <c r="AH4" s="1" t="s">
        <v>113</v>
      </c>
      <c r="AI4" s="1" t="s">
        <v>113</v>
      </c>
      <c r="AJ4" s="1" t="s">
        <v>113</v>
      </c>
      <c r="AK4" s="1" t="s">
        <v>113</v>
      </c>
      <c r="AL4" s="1" t="s">
        <v>163</v>
      </c>
      <c r="AM4" s="1" t="s">
        <v>164</v>
      </c>
      <c r="AN4" s="1" t="s">
        <v>165</v>
      </c>
      <c r="AO4" s="1" t="s">
        <v>166</v>
      </c>
      <c r="AP4" s="1" t="s">
        <v>113</v>
      </c>
      <c r="AQ4" s="1" t="s">
        <v>113</v>
      </c>
      <c r="AR4" s="1" t="s">
        <v>113</v>
      </c>
      <c r="AS4" s="1" t="s">
        <v>113</v>
      </c>
      <c r="AT4" s="1" t="s">
        <v>113</v>
      </c>
      <c r="AU4" s="1" t="s">
        <v>167</v>
      </c>
      <c r="AV4" s="1" t="s">
        <v>168</v>
      </c>
    </row>
    <row r="5" spans="1:48" ht="12.95" customHeight="1" x14ac:dyDescent="0.2">
      <c r="A5" s="4" t="s">
        <v>169</v>
      </c>
      <c r="B5" s="4" t="s">
        <v>170</v>
      </c>
      <c r="C5" s="3" t="s">
        <v>112</v>
      </c>
      <c r="D5" s="1" t="s">
        <v>113</v>
      </c>
      <c r="E5" s="1" t="s">
        <v>171</v>
      </c>
      <c r="F5" s="1" t="s">
        <v>172</v>
      </c>
      <c r="G5" s="1" t="s">
        <v>173</v>
      </c>
      <c r="H5" s="1" t="s">
        <v>174</v>
      </c>
      <c r="I5" s="1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1" t="s">
        <v>185</v>
      </c>
      <c r="T5" s="1" t="s">
        <v>186</v>
      </c>
      <c r="U5" s="1" t="s">
        <v>187</v>
      </c>
      <c r="V5" s="1" t="s">
        <v>185</v>
      </c>
      <c r="W5" s="1" t="s">
        <v>188</v>
      </c>
      <c r="X5" s="1" t="s">
        <v>189</v>
      </c>
      <c r="Y5" s="1" t="s">
        <v>190</v>
      </c>
      <c r="Z5" s="1" t="s">
        <v>191</v>
      </c>
      <c r="AA5" s="1" t="s">
        <v>113</v>
      </c>
      <c r="AB5" s="1" t="s">
        <v>192</v>
      </c>
      <c r="AC5" s="1" t="s">
        <v>193</v>
      </c>
      <c r="AD5" s="1" t="s">
        <v>113</v>
      </c>
      <c r="AE5" s="1" t="s">
        <v>113</v>
      </c>
      <c r="AF5" s="1" t="s">
        <v>113</v>
      </c>
      <c r="AG5" s="1" t="s">
        <v>113</v>
      </c>
      <c r="AH5" s="1" t="s">
        <v>113</v>
      </c>
      <c r="AI5" s="1" t="s">
        <v>113</v>
      </c>
      <c r="AJ5" s="1" t="s">
        <v>113</v>
      </c>
      <c r="AK5" s="1" t="s">
        <v>113</v>
      </c>
      <c r="AL5" s="1" t="s">
        <v>113</v>
      </c>
      <c r="AM5" s="1" t="s">
        <v>113</v>
      </c>
      <c r="AN5" s="1" t="s">
        <v>194</v>
      </c>
      <c r="AO5" s="1" t="s">
        <v>195</v>
      </c>
      <c r="AP5" s="1" t="s">
        <v>113</v>
      </c>
      <c r="AQ5" s="1" t="s">
        <v>113</v>
      </c>
      <c r="AR5" s="1" t="s">
        <v>113</v>
      </c>
      <c r="AS5" s="1" t="s">
        <v>113</v>
      </c>
      <c r="AT5" s="1" t="s">
        <v>113</v>
      </c>
      <c r="AU5" s="1" t="s">
        <v>113</v>
      </c>
      <c r="AV5" s="1" t="s">
        <v>157</v>
      </c>
    </row>
    <row r="6" spans="1:48" ht="12.95" customHeight="1" x14ac:dyDescent="0.2">
      <c r="A6" s="4" t="s">
        <v>196</v>
      </c>
      <c r="B6" s="4" t="s">
        <v>197</v>
      </c>
      <c r="C6" s="3" t="s">
        <v>112</v>
      </c>
      <c r="D6" s="1" t="s">
        <v>113</v>
      </c>
      <c r="E6" s="1" t="s">
        <v>198</v>
      </c>
      <c r="F6" s="1" t="s">
        <v>199</v>
      </c>
      <c r="G6" s="1" t="s">
        <v>200</v>
      </c>
      <c r="H6" s="1" t="s">
        <v>201</v>
      </c>
      <c r="I6" s="1" t="s">
        <v>202</v>
      </c>
      <c r="J6" s="1" t="s">
        <v>203</v>
      </c>
      <c r="K6" s="1" t="s">
        <v>204</v>
      </c>
      <c r="L6" s="1" t="s">
        <v>205</v>
      </c>
      <c r="M6" s="1" t="s">
        <v>206</v>
      </c>
      <c r="N6" s="1" t="s">
        <v>207</v>
      </c>
      <c r="O6" s="1" t="s">
        <v>208</v>
      </c>
      <c r="P6" s="1" t="s">
        <v>209</v>
      </c>
      <c r="Q6" s="1" t="s">
        <v>210</v>
      </c>
      <c r="R6" s="1" t="s">
        <v>211</v>
      </c>
      <c r="S6" s="1" t="s">
        <v>212</v>
      </c>
      <c r="T6" s="1" t="s">
        <v>213</v>
      </c>
      <c r="U6" s="1" t="s">
        <v>214</v>
      </c>
      <c r="V6" s="1" t="s">
        <v>215</v>
      </c>
      <c r="W6" s="1" t="s">
        <v>216</v>
      </c>
      <c r="X6" s="1" t="s">
        <v>217</v>
      </c>
      <c r="Y6" s="1" t="s">
        <v>218</v>
      </c>
      <c r="Z6" s="1" t="s">
        <v>219</v>
      </c>
      <c r="AA6" s="1" t="s">
        <v>113</v>
      </c>
      <c r="AB6" s="1" t="s">
        <v>220</v>
      </c>
      <c r="AC6" s="1" t="s">
        <v>221</v>
      </c>
      <c r="AD6" s="1" t="s">
        <v>222</v>
      </c>
      <c r="AE6" s="1" t="s">
        <v>223</v>
      </c>
      <c r="AF6" s="1" t="s">
        <v>224</v>
      </c>
      <c r="AG6" s="1" t="s">
        <v>225</v>
      </c>
      <c r="AH6" s="1" t="s">
        <v>226</v>
      </c>
      <c r="AI6" s="1" t="s">
        <v>227</v>
      </c>
      <c r="AJ6" s="1" t="s">
        <v>228</v>
      </c>
      <c r="AK6" s="1" t="s">
        <v>229</v>
      </c>
      <c r="AL6" s="1" t="s">
        <v>230</v>
      </c>
      <c r="AM6" s="1" t="s">
        <v>113</v>
      </c>
      <c r="AN6" s="1" t="s">
        <v>231</v>
      </c>
      <c r="AO6" s="1" t="s">
        <v>182</v>
      </c>
      <c r="AP6" s="1" t="s">
        <v>232</v>
      </c>
      <c r="AQ6" s="1" t="s">
        <v>233</v>
      </c>
      <c r="AR6" s="1" t="s">
        <v>234</v>
      </c>
      <c r="AS6" s="1" t="s">
        <v>235</v>
      </c>
      <c r="AT6" s="1" t="s">
        <v>236</v>
      </c>
      <c r="AU6" s="1" t="s">
        <v>113</v>
      </c>
      <c r="AV6" s="1" t="s">
        <v>231</v>
      </c>
    </row>
    <row r="7" spans="1:48" ht="12.95" customHeight="1" x14ac:dyDescent="0.2">
      <c r="A7" s="4" t="s">
        <v>237</v>
      </c>
      <c r="B7" s="4" t="s">
        <v>238</v>
      </c>
      <c r="C7" s="3" t="s">
        <v>112</v>
      </c>
      <c r="D7" s="1" t="s">
        <v>239</v>
      </c>
      <c r="E7" s="1" t="s">
        <v>240</v>
      </c>
      <c r="F7" s="1" t="s">
        <v>241</v>
      </c>
      <c r="G7" s="1" t="s">
        <v>113</v>
      </c>
      <c r="H7" s="1" t="s">
        <v>113</v>
      </c>
      <c r="I7" s="1" t="s">
        <v>113</v>
      </c>
      <c r="J7" s="1" t="s">
        <v>113</v>
      </c>
      <c r="K7" s="1" t="s">
        <v>113</v>
      </c>
      <c r="L7" s="1" t="s">
        <v>113</v>
      </c>
      <c r="M7" s="1" t="s">
        <v>113</v>
      </c>
      <c r="N7" s="1" t="s">
        <v>113</v>
      </c>
      <c r="O7" s="1" t="s">
        <v>113</v>
      </c>
      <c r="P7" s="1" t="s">
        <v>113</v>
      </c>
      <c r="Q7" s="1" t="s">
        <v>113</v>
      </c>
      <c r="R7" s="1" t="s">
        <v>242</v>
      </c>
      <c r="S7" s="1" t="s">
        <v>113</v>
      </c>
      <c r="T7" s="1" t="s">
        <v>113</v>
      </c>
      <c r="U7" s="1" t="s">
        <v>113</v>
      </c>
      <c r="V7" s="1" t="s">
        <v>113</v>
      </c>
      <c r="W7" s="1" t="s">
        <v>113</v>
      </c>
      <c r="X7" s="1" t="s">
        <v>113</v>
      </c>
      <c r="Y7" s="1" t="s">
        <v>113</v>
      </c>
      <c r="Z7" s="1" t="s">
        <v>113</v>
      </c>
      <c r="AA7" s="1" t="s">
        <v>243</v>
      </c>
      <c r="AB7" s="1" t="s">
        <v>244</v>
      </c>
      <c r="AC7" s="1" t="s">
        <v>245</v>
      </c>
      <c r="AD7" s="1" t="s">
        <v>246</v>
      </c>
      <c r="AE7" s="1" t="s">
        <v>185</v>
      </c>
      <c r="AF7" s="1" t="s">
        <v>247</v>
      </c>
      <c r="AG7" s="1" t="s">
        <v>248</v>
      </c>
      <c r="AH7" s="1" t="s">
        <v>113</v>
      </c>
      <c r="AI7" s="1" t="s">
        <v>113</v>
      </c>
      <c r="AJ7" s="1" t="s">
        <v>113</v>
      </c>
      <c r="AK7" s="1" t="s">
        <v>249</v>
      </c>
      <c r="AL7" s="1" t="s">
        <v>250</v>
      </c>
      <c r="AM7" s="1" t="s">
        <v>251</v>
      </c>
      <c r="AN7" s="1" t="s">
        <v>168</v>
      </c>
      <c r="AO7" s="1" t="s">
        <v>252</v>
      </c>
      <c r="AP7" s="1" t="s">
        <v>113</v>
      </c>
      <c r="AQ7" s="1" t="s">
        <v>113</v>
      </c>
      <c r="AR7" s="1" t="s">
        <v>113</v>
      </c>
      <c r="AS7" s="1" t="s">
        <v>113</v>
      </c>
      <c r="AT7" s="1" t="s">
        <v>113</v>
      </c>
      <c r="AU7" s="1" t="s">
        <v>253</v>
      </c>
      <c r="AV7" s="1" t="s">
        <v>168</v>
      </c>
    </row>
    <row r="8" spans="1:48" ht="12.95" customHeight="1" x14ac:dyDescent="0.2">
      <c r="A8" s="4" t="s">
        <v>254</v>
      </c>
      <c r="B8" s="4" t="s">
        <v>255</v>
      </c>
      <c r="C8" s="3" t="s">
        <v>112</v>
      </c>
      <c r="D8" s="1" t="s">
        <v>256</v>
      </c>
      <c r="E8" s="1" t="s">
        <v>257</v>
      </c>
      <c r="F8" s="1" t="s">
        <v>113</v>
      </c>
      <c r="G8" s="1" t="s">
        <v>258</v>
      </c>
      <c r="H8" s="1" t="s">
        <v>259</v>
      </c>
      <c r="I8" s="1" t="s">
        <v>220</v>
      </c>
      <c r="J8" s="1" t="s">
        <v>260</v>
      </c>
      <c r="K8" s="1" t="s">
        <v>261</v>
      </c>
      <c r="L8" s="1" t="s">
        <v>262</v>
      </c>
      <c r="M8" s="1" t="s">
        <v>263</v>
      </c>
      <c r="N8" s="1" t="s">
        <v>264</v>
      </c>
      <c r="O8" s="1" t="s">
        <v>265</v>
      </c>
      <c r="P8" s="1" t="s">
        <v>266</v>
      </c>
      <c r="Q8" s="1" t="s">
        <v>267</v>
      </c>
      <c r="R8" s="1" t="s">
        <v>268</v>
      </c>
      <c r="S8" s="1" t="s">
        <v>269</v>
      </c>
      <c r="T8" s="1" t="s">
        <v>270</v>
      </c>
      <c r="U8" s="1" t="s">
        <v>271</v>
      </c>
      <c r="V8" s="1" t="s">
        <v>272</v>
      </c>
      <c r="W8" s="1" t="s">
        <v>273</v>
      </c>
      <c r="X8" s="1" t="s">
        <v>274</v>
      </c>
      <c r="Y8" s="1" t="s">
        <v>275</v>
      </c>
      <c r="Z8" s="1" t="s">
        <v>276</v>
      </c>
      <c r="AA8" s="1" t="s">
        <v>277</v>
      </c>
      <c r="AB8" s="1" t="s">
        <v>278</v>
      </c>
      <c r="AC8" s="1" t="s">
        <v>279</v>
      </c>
      <c r="AD8" s="1" t="s">
        <v>280</v>
      </c>
      <c r="AE8" s="1" t="s">
        <v>281</v>
      </c>
      <c r="AF8" s="1" t="s">
        <v>282</v>
      </c>
      <c r="AG8" s="1" t="s">
        <v>283</v>
      </c>
      <c r="AH8" s="1" t="s">
        <v>284</v>
      </c>
      <c r="AI8" s="1" t="s">
        <v>113</v>
      </c>
      <c r="AJ8" s="1" t="s">
        <v>113</v>
      </c>
      <c r="AK8" s="1" t="s">
        <v>285</v>
      </c>
      <c r="AL8" s="1" t="s">
        <v>286</v>
      </c>
      <c r="AM8" s="1" t="s">
        <v>287</v>
      </c>
      <c r="AN8" s="1" t="s">
        <v>288</v>
      </c>
      <c r="AO8" s="1" t="s">
        <v>113</v>
      </c>
      <c r="AP8" s="1" t="s">
        <v>289</v>
      </c>
      <c r="AQ8" s="1" t="s">
        <v>290</v>
      </c>
      <c r="AR8" s="1" t="s">
        <v>291</v>
      </c>
      <c r="AS8" s="1" t="s">
        <v>292</v>
      </c>
      <c r="AT8" s="1" t="s">
        <v>293</v>
      </c>
      <c r="AU8" s="1" t="s">
        <v>294</v>
      </c>
      <c r="AV8" s="1" t="s">
        <v>295</v>
      </c>
    </row>
    <row r="9" spans="1:48" ht="12.95" customHeight="1" x14ac:dyDescent="0.2">
      <c r="A9" s="4" t="s">
        <v>296</v>
      </c>
      <c r="B9" s="4" t="s">
        <v>297</v>
      </c>
      <c r="C9" s="3" t="s">
        <v>112</v>
      </c>
      <c r="D9" s="1" t="s">
        <v>113</v>
      </c>
      <c r="E9" s="1" t="s">
        <v>298</v>
      </c>
      <c r="F9" s="1" t="s">
        <v>113</v>
      </c>
      <c r="G9" s="1" t="s">
        <v>113</v>
      </c>
      <c r="H9" s="1" t="s">
        <v>113</v>
      </c>
      <c r="I9" s="1" t="s">
        <v>113</v>
      </c>
      <c r="J9" s="1" t="s">
        <v>113</v>
      </c>
      <c r="K9" s="1" t="s">
        <v>113</v>
      </c>
      <c r="L9" s="1" t="s">
        <v>113</v>
      </c>
      <c r="M9" s="1" t="s">
        <v>113</v>
      </c>
      <c r="N9" s="1" t="s">
        <v>113</v>
      </c>
      <c r="O9" s="1" t="s">
        <v>113</v>
      </c>
      <c r="P9" s="1" t="s">
        <v>113</v>
      </c>
      <c r="Q9" s="1" t="s">
        <v>113</v>
      </c>
      <c r="R9" s="1" t="s">
        <v>299</v>
      </c>
      <c r="S9" s="1" t="s">
        <v>113</v>
      </c>
      <c r="T9" s="1" t="s">
        <v>113</v>
      </c>
      <c r="U9" s="1" t="s">
        <v>113</v>
      </c>
      <c r="V9" s="1" t="s">
        <v>113</v>
      </c>
      <c r="W9" s="1" t="s">
        <v>113</v>
      </c>
      <c r="X9" s="1" t="s">
        <v>113</v>
      </c>
      <c r="Y9" s="1" t="s">
        <v>113</v>
      </c>
      <c r="Z9" s="1" t="s">
        <v>113</v>
      </c>
      <c r="AA9" s="1" t="s">
        <v>113</v>
      </c>
      <c r="AB9" s="1" t="s">
        <v>300</v>
      </c>
      <c r="AC9" s="1" t="s">
        <v>301</v>
      </c>
      <c r="AD9" s="1" t="s">
        <v>113</v>
      </c>
      <c r="AE9" s="1" t="s">
        <v>113</v>
      </c>
      <c r="AF9" s="1" t="s">
        <v>113</v>
      </c>
      <c r="AG9" s="1" t="s">
        <v>113</v>
      </c>
      <c r="AH9" s="1" t="s">
        <v>113</v>
      </c>
      <c r="AI9" s="1" t="s">
        <v>113</v>
      </c>
      <c r="AJ9" s="1" t="s">
        <v>113</v>
      </c>
      <c r="AK9" s="1" t="s">
        <v>113</v>
      </c>
      <c r="AL9" s="1" t="s">
        <v>113</v>
      </c>
      <c r="AM9" s="1" t="s">
        <v>302</v>
      </c>
      <c r="AN9" s="1" t="s">
        <v>157</v>
      </c>
      <c r="AO9" s="1" t="s">
        <v>113</v>
      </c>
      <c r="AP9" s="1" t="s">
        <v>113</v>
      </c>
      <c r="AQ9" s="1" t="s">
        <v>113</v>
      </c>
      <c r="AR9" s="1" t="s">
        <v>113</v>
      </c>
      <c r="AS9" s="1" t="s">
        <v>113</v>
      </c>
      <c r="AT9" s="1" t="s">
        <v>113</v>
      </c>
      <c r="AU9" s="1" t="s">
        <v>303</v>
      </c>
      <c r="AV9" s="1" t="s">
        <v>157</v>
      </c>
    </row>
    <row r="10" spans="1:48" ht="12.95" customHeight="1" x14ac:dyDescent="0.2">
      <c r="A10" s="4" t="s">
        <v>304</v>
      </c>
      <c r="B10" s="4" t="s">
        <v>305</v>
      </c>
      <c r="C10" s="3" t="s">
        <v>112</v>
      </c>
      <c r="D10" s="1" t="s">
        <v>113</v>
      </c>
      <c r="E10" s="1" t="s">
        <v>306</v>
      </c>
      <c r="F10" s="1" t="s">
        <v>113</v>
      </c>
      <c r="G10" s="1" t="s">
        <v>113</v>
      </c>
      <c r="H10" s="1" t="s">
        <v>113</v>
      </c>
      <c r="I10" s="1" t="s">
        <v>113</v>
      </c>
      <c r="J10" s="1" t="s">
        <v>113</v>
      </c>
      <c r="K10" s="1" t="s">
        <v>113</v>
      </c>
      <c r="L10" s="1" t="s">
        <v>113</v>
      </c>
      <c r="M10" s="1" t="s">
        <v>113</v>
      </c>
      <c r="N10" s="1" t="s">
        <v>113</v>
      </c>
      <c r="O10" s="1" t="s">
        <v>113</v>
      </c>
      <c r="P10" s="1" t="s">
        <v>113</v>
      </c>
      <c r="Q10" s="1" t="s">
        <v>113</v>
      </c>
      <c r="R10" s="1" t="s">
        <v>307</v>
      </c>
      <c r="S10" s="1" t="s">
        <v>113</v>
      </c>
      <c r="T10" s="1" t="s">
        <v>113</v>
      </c>
      <c r="U10" s="1" t="s">
        <v>113</v>
      </c>
      <c r="V10" s="1" t="s">
        <v>113</v>
      </c>
      <c r="W10" s="1" t="s">
        <v>113</v>
      </c>
      <c r="X10" s="1" t="s">
        <v>113</v>
      </c>
      <c r="Y10" s="1" t="s">
        <v>113</v>
      </c>
      <c r="Z10" s="1" t="s">
        <v>113</v>
      </c>
      <c r="AA10" s="1" t="s">
        <v>113</v>
      </c>
      <c r="AB10" s="1" t="s">
        <v>141</v>
      </c>
      <c r="AC10" s="1" t="s">
        <v>113</v>
      </c>
      <c r="AD10" s="1" t="s">
        <v>113</v>
      </c>
      <c r="AE10" s="1" t="s">
        <v>113</v>
      </c>
      <c r="AF10" s="1" t="s">
        <v>113</v>
      </c>
      <c r="AG10" s="1" t="s">
        <v>113</v>
      </c>
      <c r="AH10" s="1" t="s">
        <v>113</v>
      </c>
      <c r="AI10" s="1" t="s">
        <v>113</v>
      </c>
      <c r="AJ10" s="1" t="s">
        <v>113</v>
      </c>
      <c r="AK10" s="1" t="s">
        <v>113</v>
      </c>
      <c r="AL10" s="1" t="s">
        <v>113</v>
      </c>
      <c r="AM10" s="1" t="s">
        <v>113</v>
      </c>
      <c r="AN10" s="1" t="s">
        <v>308</v>
      </c>
      <c r="AO10" s="1" t="s">
        <v>113</v>
      </c>
      <c r="AP10" s="1" t="s">
        <v>113</v>
      </c>
      <c r="AQ10" s="1" t="s">
        <v>113</v>
      </c>
      <c r="AR10" s="1" t="s">
        <v>113</v>
      </c>
      <c r="AS10" s="1" t="s">
        <v>113</v>
      </c>
      <c r="AT10" s="1" t="s">
        <v>113</v>
      </c>
      <c r="AU10" s="1" t="s">
        <v>113</v>
      </c>
      <c r="AV10" s="1" t="s">
        <v>309</v>
      </c>
    </row>
    <row r="11" spans="1:48" ht="12.95" customHeight="1" x14ac:dyDescent="0.2">
      <c r="A11" s="4" t="s">
        <v>310</v>
      </c>
      <c r="B11" s="4" t="s">
        <v>311</v>
      </c>
      <c r="C11" s="3" t="s">
        <v>112</v>
      </c>
      <c r="D11" s="1" t="s">
        <v>312</v>
      </c>
      <c r="E11" s="1" t="s">
        <v>184</v>
      </c>
      <c r="F11" s="1" t="s">
        <v>113</v>
      </c>
      <c r="G11" s="1" t="s">
        <v>313</v>
      </c>
      <c r="H11" s="1" t="s">
        <v>314</v>
      </c>
      <c r="I11" s="1" t="s">
        <v>315</v>
      </c>
      <c r="J11" s="1" t="s">
        <v>316</v>
      </c>
      <c r="K11" s="1" t="s">
        <v>317</v>
      </c>
      <c r="L11" s="1" t="s">
        <v>318</v>
      </c>
      <c r="M11" s="1" t="s">
        <v>319</v>
      </c>
      <c r="N11" s="1" t="s">
        <v>320</v>
      </c>
      <c r="O11" s="1" t="s">
        <v>321</v>
      </c>
      <c r="P11" s="1" t="s">
        <v>322</v>
      </c>
      <c r="Q11" s="1" t="s">
        <v>323</v>
      </c>
      <c r="R11" s="1" t="s">
        <v>324</v>
      </c>
      <c r="S11" s="1" t="s">
        <v>325</v>
      </c>
      <c r="T11" s="1" t="s">
        <v>326</v>
      </c>
      <c r="U11" s="1" t="s">
        <v>327</v>
      </c>
      <c r="V11" s="1" t="s">
        <v>292</v>
      </c>
      <c r="W11" s="1" t="s">
        <v>328</v>
      </c>
      <c r="X11" s="1" t="s">
        <v>329</v>
      </c>
      <c r="Y11" s="1" t="s">
        <v>330</v>
      </c>
      <c r="Z11" s="1" t="s">
        <v>331</v>
      </c>
      <c r="AA11" s="1" t="s">
        <v>332</v>
      </c>
      <c r="AB11" s="1" t="s">
        <v>333</v>
      </c>
      <c r="AC11" s="1" t="s">
        <v>334</v>
      </c>
      <c r="AD11" s="1" t="s">
        <v>335</v>
      </c>
      <c r="AE11" s="1" t="s">
        <v>336</v>
      </c>
      <c r="AF11" s="1" t="s">
        <v>337</v>
      </c>
      <c r="AG11" s="1" t="s">
        <v>338</v>
      </c>
      <c r="AH11" s="1" t="s">
        <v>339</v>
      </c>
      <c r="AI11" s="1" t="s">
        <v>340</v>
      </c>
      <c r="AJ11" s="1" t="s">
        <v>341</v>
      </c>
      <c r="AK11" s="1" t="s">
        <v>342</v>
      </c>
      <c r="AL11" s="1" t="s">
        <v>343</v>
      </c>
      <c r="AM11" s="1" t="s">
        <v>344</v>
      </c>
      <c r="AN11" s="1" t="s">
        <v>345</v>
      </c>
      <c r="AO11" s="1" t="s">
        <v>113</v>
      </c>
      <c r="AP11" s="1" t="s">
        <v>346</v>
      </c>
      <c r="AQ11" s="1" t="s">
        <v>347</v>
      </c>
      <c r="AR11" s="1" t="s">
        <v>348</v>
      </c>
      <c r="AS11" s="1" t="s">
        <v>349</v>
      </c>
      <c r="AT11" s="1" t="s">
        <v>350</v>
      </c>
      <c r="AU11" s="1" t="s">
        <v>351</v>
      </c>
      <c r="AV11" s="1" t="s">
        <v>194</v>
      </c>
    </row>
    <row r="12" spans="1:48" ht="12.95" customHeight="1" x14ac:dyDescent="0.2">
      <c r="A12" s="4" t="s">
        <v>352</v>
      </c>
      <c r="B12" s="4" t="s">
        <v>353</v>
      </c>
      <c r="C12" s="3" t="s">
        <v>112</v>
      </c>
      <c r="D12" s="1" t="s">
        <v>354</v>
      </c>
      <c r="E12" s="1" t="s">
        <v>354</v>
      </c>
      <c r="F12" s="1" t="s">
        <v>354</v>
      </c>
      <c r="G12" s="1" t="s">
        <v>354</v>
      </c>
      <c r="H12" s="1" t="s">
        <v>354</v>
      </c>
      <c r="I12" s="1" t="s">
        <v>354</v>
      </c>
      <c r="J12" s="1" t="s">
        <v>354</v>
      </c>
      <c r="K12" s="1" t="s">
        <v>354</v>
      </c>
      <c r="L12" s="1" t="s">
        <v>354</v>
      </c>
      <c r="M12" s="1" t="s">
        <v>354</v>
      </c>
      <c r="N12" s="1" t="s">
        <v>354</v>
      </c>
      <c r="O12" s="1" t="s">
        <v>354</v>
      </c>
      <c r="P12" s="1" t="s">
        <v>354</v>
      </c>
      <c r="Q12" s="1" t="s">
        <v>354</v>
      </c>
      <c r="R12" s="1" t="s">
        <v>354</v>
      </c>
      <c r="S12" s="1" t="s">
        <v>354</v>
      </c>
      <c r="T12" s="1" t="s">
        <v>354</v>
      </c>
      <c r="U12" s="1" t="s">
        <v>354</v>
      </c>
      <c r="V12" s="1" t="s">
        <v>354</v>
      </c>
      <c r="W12" s="1" t="s">
        <v>354</v>
      </c>
      <c r="X12" s="1" t="s">
        <v>354</v>
      </c>
      <c r="Y12" s="1" t="s">
        <v>354</v>
      </c>
      <c r="Z12" s="1" t="s">
        <v>354</v>
      </c>
      <c r="AA12" s="1" t="s">
        <v>354</v>
      </c>
      <c r="AB12" s="1" t="s">
        <v>354</v>
      </c>
      <c r="AC12" s="1" t="s">
        <v>354</v>
      </c>
      <c r="AD12" s="1" t="s">
        <v>354</v>
      </c>
      <c r="AE12" s="1" t="s">
        <v>354</v>
      </c>
      <c r="AF12" s="1" t="s">
        <v>354</v>
      </c>
      <c r="AG12" s="1" t="s">
        <v>354</v>
      </c>
      <c r="AH12" s="1" t="s">
        <v>354</v>
      </c>
      <c r="AI12" s="1" t="s">
        <v>354</v>
      </c>
      <c r="AJ12" s="1" t="s">
        <v>354</v>
      </c>
      <c r="AK12" s="1" t="s">
        <v>354</v>
      </c>
      <c r="AL12" s="1" t="s">
        <v>354</v>
      </c>
      <c r="AM12" s="1" t="s">
        <v>354</v>
      </c>
      <c r="AN12" s="1" t="s">
        <v>354</v>
      </c>
      <c r="AO12" s="1" t="s">
        <v>354</v>
      </c>
      <c r="AP12" s="1" t="s">
        <v>354</v>
      </c>
      <c r="AQ12" s="1" t="s">
        <v>354</v>
      </c>
      <c r="AR12" s="1" t="s">
        <v>354</v>
      </c>
      <c r="AS12" s="1" t="s">
        <v>354</v>
      </c>
      <c r="AT12" s="1" t="s">
        <v>354</v>
      </c>
      <c r="AU12" s="1" t="s">
        <v>354</v>
      </c>
      <c r="AV12" s="1" t="s">
        <v>354</v>
      </c>
    </row>
    <row r="13" spans="1:48" ht="12.95" customHeight="1" x14ac:dyDescent="0.2">
      <c r="A13" s="4" t="s">
        <v>355</v>
      </c>
      <c r="B13" s="4" t="s">
        <v>356</v>
      </c>
      <c r="C13" s="3" t="s">
        <v>112</v>
      </c>
      <c r="D13" s="1" t="s">
        <v>357</v>
      </c>
      <c r="E13" s="1" t="s">
        <v>358</v>
      </c>
      <c r="F13" s="1" t="s">
        <v>359</v>
      </c>
      <c r="G13" s="1" t="s">
        <v>360</v>
      </c>
      <c r="H13" s="1" t="s">
        <v>361</v>
      </c>
      <c r="I13" s="1" t="s">
        <v>362</v>
      </c>
      <c r="J13" s="1" t="s">
        <v>363</v>
      </c>
      <c r="K13" s="1" t="s">
        <v>364</v>
      </c>
      <c r="L13" s="1" t="s">
        <v>365</v>
      </c>
      <c r="M13" s="1" t="s">
        <v>366</v>
      </c>
      <c r="N13" s="1" t="s">
        <v>367</v>
      </c>
      <c r="O13" s="1" t="s">
        <v>368</v>
      </c>
      <c r="P13" s="1" t="s">
        <v>369</v>
      </c>
      <c r="Q13" s="1" t="s">
        <v>370</v>
      </c>
      <c r="R13" s="1" t="s">
        <v>371</v>
      </c>
      <c r="S13" s="1" t="s">
        <v>372</v>
      </c>
      <c r="T13" s="1" t="s">
        <v>373</v>
      </c>
      <c r="U13" s="1" t="s">
        <v>374</v>
      </c>
      <c r="V13" s="1" t="s">
        <v>375</v>
      </c>
      <c r="W13" s="1" t="s">
        <v>376</v>
      </c>
      <c r="X13" s="1" t="s">
        <v>377</v>
      </c>
      <c r="Y13" s="1" t="s">
        <v>378</v>
      </c>
      <c r="Z13" s="1" t="s">
        <v>379</v>
      </c>
      <c r="AA13" s="1" t="s">
        <v>380</v>
      </c>
      <c r="AB13" s="1" t="s">
        <v>381</v>
      </c>
      <c r="AC13" s="1" t="s">
        <v>382</v>
      </c>
      <c r="AD13" s="1" t="s">
        <v>383</v>
      </c>
      <c r="AE13" s="1" t="s">
        <v>384</v>
      </c>
      <c r="AF13" s="1" t="s">
        <v>385</v>
      </c>
      <c r="AG13" s="1" t="s">
        <v>386</v>
      </c>
      <c r="AH13" s="1" t="s">
        <v>387</v>
      </c>
      <c r="AI13" s="1" t="s">
        <v>388</v>
      </c>
      <c r="AJ13" s="1" t="s">
        <v>389</v>
      </c>
      <c r="AK13" s="1" t="s">
        <v>390</v>
      </c>
      <c r="AL13" s="1" t="s">
        <v>391</v>
      </c>
      <c r="AM13" s="1" t="s">
        <v>392</v>
      </c>
      <c r="AN13" s="1" t="s">
        <v>393</v>
      </c>
      <c r="AO13" s="1" t="s">
        <v>394</v>
      </c>
      <c r="AP13" s="1" t="s">
        <v>395</v>
      </c>
      <c r="AQ13" s="1" t="s">
        <v>396</v>
      </c>
      <c r="AR13" s="1" t="s">
        <v>397</v>
      </c>
      <c r="AS13" s="1" t="s">
        <v>398</v>
      </c>
      <c r="AT13" s="1" t="s">
        <v>399</v>
      </c>
      <c r="AU13" s="1" t="s">
        <v>400</v>
      </c>
      <c r="AV13" s="1" t="s">
        <v>401</v>
      </c>
    </row>
    <row r="14" spans="1:48" ht="12.95" customHeight="1" x14ac:dyDescent="0.2">
      <c r="A14" s="4" t="s">
        <v>402</v>
      </c>
      <c r="B14" s="4" t="s">
        <v>403</v>
      </c>
      <c r="C14" s="3" t="s">
        <v>112</v>
      </c>
      <c r="D14" s="1" t="s">
        <v>404</v>
      </c>
      <c r="E14" s="1" t="s">
        <v>405</v>
      </c>
      <c r="F14" s="1" t="s">
        <v>113</v>
      </c>
      <c r="G14" s="1" t="s">
        <v>113</v>
      </c>
      <c r="H14" s="1" t="s">
        <v>113</v>
      </c>
      <c r="I14" s="1" t="s">
        <v>113</v>
      </c>
      <c r="J14" s="1" t="s">
        <v>113</v>
      </c>
      <c r="K14" s="1" t="s">
        <v>113</v>
      </c>
      <c r="L14" s="1" t="s">
        <v>113</v>
      </c>
      <c r="M14" s="1" t="s">
        <v>113</v>
      </c>
      <c r="N14" s="1" t="s">
        <v>113</v>
      </c>
      <c r="O14" s="1" t="s">
        <v>113</v>
      </c>
      <c r="P14" s="1" t="s">
        <v>113</v>
      </c>
      <c r="Q14" s="1" t="s">
        <v>113</v>
      </c>
      <c r="R14" s="1" t="s">
        <v>406</v>
      </c>
      <c r="S14" s="1" t="s">
        <v>113</v>
      </c>
      <c r="T14" s="1" t="s">
        <v>113</v>
      </c>
      <c r="U14" s="1" t="s">
        <v>113</v>
      </c>
      <c r="V14" s="1" t="s">
        <v>113</v>
      </c>
      <c r="W14" s="1" t="s">
        <v>113</v>
      </c>
      <c r="X14" s="1" t="s">
        <v>113</v>
      </c>
      <c r="Y14" s="1" t="s">
        <v>113</v>
      </c>
      <c r="Z14" s="1" t="s">
        <v>113</v>
      </c>
      <c r="AA14" s="1" t="s">
        <v>407</v>
      </c>
      <c r="AB14" s="1" t="s">
        <v>408</v>
      </c>
      <c r="AC14" s="1" t="s">
        <v>113</v>
      </c>
      <c r="AD14" s="1" t="s">
        <v>113</v>
      </c>
      <c r="AE14" s="1" t="s">
        <v>113</v>
      </c>
      <c r="AF14" s="1" t="s">
        <v>113</v>
      </c>
      <c r="AG14" s="1" t="s">
        <v>113</v>
      </c>
      <c r="AH14" s="1" t="s">
        <v>113</v>
      </c>
      <c r="AI14" s="1" t="s">
        <v>113</v>
      </c>
      <c r="AJ14" s="1" t="s">
        <v>113</v>
      </c>
      <c r="AK14" s="1" t="s">
        <v>409</v>
      </c>
      <c r="AL14" s="1" t="s">
        <v>410</v>
      </c>
      <c r="AM14" s="1" t="s">
        <v>411</v>
      </c>
      <c r="AN14" s="1" t="s">
        <v>220</v>
      </c>
      <c r="AO14" s="1" t="s">
        <v>113</v>
      </c>
      <c r="AP14" s="1" t="s">
        <v>113</v>
      </c>
      <c r="AQ14" s="1" t="s">
        <v>113</v>
      </c>
      <c r="AR14" s="1" t="s">
        <v>113</v>
      </c>
      <c r="AS14" s="1" t="s">
        <v>113</v>
      </c>
      <c r="AT14" s="1" t="s">
        <v>113</v>
      </c>
      <c r="AU14" s="1" t="s">
        <v>412</v>
      </c>
      <c r="AV14" s="1" t="s">
        <v>413</v>
      </c>
    </row>
    <row r="15" spans="1:48" ht="12.95" customHeight="1" x14ac:dyDescent="0.2">
      <c r="A15" s="4" t="s">
        <v>414</v>
      </c>
      <c r="B15" s="4" t="s">
        <v>415</v>
      </c>
      <c r="C15" s="3" t="s">
        <v>112</v>
      </c>
      <c r="D15" s="1" t="s">
        <v>113</v>
      </c>
      <c r="E15" s="1" t="s">
        <v>416</v>
      </c>
      <c r="F15" s="1" t="s">
        <v>113</v>
      </c>
      <c r="G15" s="1" t="s">
        <v>113</v>
      </c>
      <c r="H15" s="1" t="s">
        <v>113</v>
      </c>
      <c r="I15" s="1" t="s">
        <v>113</v>
      </c>
      <c r="J15" s="1" t="s">
        <v>113</v>
      </c>
      <c r="K15" s="1" t="s">
        <v>113</v>
      </c>
      <c r="L15" s="1" t="s">
        <v>113</v>
      </c>
      <c r="M15" s="1" t="s">
        <v>113</v>
      </c>
      <c r="N15" s="1" t="s">
        <v>113</v>
      </c>
      <c r="O15" s="1" t="s">
        <v>113</v>
      </c>
      <c r="P15" s="1" t="s">
        <v>113</v>
      </c>
      <c r="Q15" s="1" t="s">
        <v>113</v>
      </c>
      <c r="R15" s="1" t="s">
        <v>417</v>
      </c>
      <c r="S15" s="1" t="s">
        <v>113</v>
      </c>
      <c r="T15" s="1" t="s">
        <v>113</v>
      </c>
      <c r="U15" s="1" t="s">
        <v>113</v>
      </c>
      <c r="V15" s="1" t="s">
        <v>113</v>
      </c>
      <c r="W15" s="1" t="s">
        <v>113</v>
      </c>
      <c r="X15" s="1" t="s">
        <v>113</v>
      </c>
      <c r="Y15" s="1" t="s">
        <v>113</v>
      </c>
      <c r="Z15" s="1" t="s">
        <v>113</v>
      </c>
      <c r="AA15" s="1" t="s">
        <v>113</v>
      </c>
      <c r="AB15" s="1" t="s">
        <v>418</v>
      </c>
      <c r="AC15" s="1" t="s">
        <v>113</v>
      </c>
      <c r="AD15" s="1" t="s">
        <v>113</v>
      </c>
      <c r="AE15" s="1" t="s">
        <v>113</v>
      </c>
      <c r="AF15" s="1" t="s">
        <v>113</v>
      </c>
      <c r="AG15" s="1" t="s">
        <v>113</v>
      </c>
      <c r="AH15" s="1" t="s">
        <v>113</v>
      </c>
      <c r="AI15" s="1" t="s">
        <v>113</v>
      </c>
      <c r="AJ15" s="1" t="s">
        <v>113</v>
      </c>
      <c r="AK15" s="1" t="s">
        <v>113</v>
      </c>
      <c r="AL15" s="1" t="s">
        <v>113</v>
      </c>
      <c r="AM15" s="1" t="s">
        <v>113</v>
      </c>
      <c r="AN15" s="1" t="s">
        <v>419</v>
      </c>
      <c r="AO15" s="1" t="s">
        <v>113</v>
      </c>
      <c r="AP15" s="1" t="s">
        <v>113</v>
      </c>
      <c r="AQ15" s="1" t="s">
        <v>113</v>
      </c>
      <c r="AR15" s="1" t="s">
        <v>113</v>
      </c>
      <c r="AS15" s="1" t="s">
        <v>113</v>
      </c>
      <c r="AT15" s="1" t="s">
        <v>113</v>
      </c>
      <c r="AU15" s="1" t="s">
        <v>113</v>
      </c>
      <c r="AV15" s="1" t="s">
        <v>420</v>
      </c>
    </row>
    <row r="16" spans="1:48" ht="12.95" customHeight="1" x14ac:dyDescent="0.2">
      <c r="A16" s="4" t="s">
        <v>421</v>
      </c>
      <c r="B16" s="4" t="s">
        <v>422</v>
      </c>
      <c r="C16" s="3" t="s">
        <v>112</v>
      </c>
      <c r="D16" s="1" t="s">
        <v>423</v>
      </c>
      <c r="E16" s="1" t="s">
        <v>424</v>
      </c>
      <c r="F16" s="1" t="s">
        <v>425</v>
      </c>
      <c r="G16" s="1" t="s">
        <v>113</v>
      </c>
      <c r="H16" s="1" t="s">
        <v>113</v>
      </c>
      <c r="I16" s="1" t="s">
        <v>113</v>
      </c>
      <c r="J16" s="1" t="s">
        <v>113</v>
      </c>
      <c r="K16" s="1" t="s">
        <v>113</v>
      </c>
      <c r="L16" s="1" t="s">
        <v>113</v>
      </c>
      <c r="M16" s="1" t="s">
        <v>113</v>
      </c>
      <c r="N16" s="1" t="s">
        <v>113</v>
      </c>
      <c r="O16" s="1" t="s">
        <v>113</v>
      </c>
      <c r="P16" s="1" t="s">
        <v>113</v>
      </c>
      <c r="Q16" s="1" t="s">
        <v>113</v>
      </c>
      <c r="R16" s="1" t="s">
        <v>198</v>
      </c>
      <c r="S16" s="1" t="s">
        <v>113</v>
      </c>
      <c r="T16" s="1" t="s">
        <v>113</v>
      </c>
      <c r="U16" s="1" t="s">
        <v>113</v>
      </c>
      <c r="V16" s="1" t="s">
        <v>113</v>
      </c>
      <c r="W16" s="1" t="s">
        <v>113</v>
      </c>
      <c r="X16" s="1" t="s">
        <v>113</v>
      </c>
      <c r="Y16" s="1" t="s">
        <v>113</v>
      </c>
      <c r="Z16" s="1" t="s">
        <v>113</v>
      </c>
      <c r="AA16" s="1" t="s">
        <v>426</v>
      </c>
      <c r="AB16" s="1" t="s">
        <v>427</v>
      </c>
      <c r="AC16" s="1" t="s">
        <v>428</v>
      </c>
      <c r="AD16" s="1" t="s">
        <v>113</v>
      </c>
      <c r="AE16" s="1" t="s">
        <v>113</v>
      </c>
      <c r="AF16" s="1" t="s">
        <v>113</v>
      </c>
      <c r="AG16" s="1" t="s">
        <v>113</v>
      </c>
      <c r="AH16" s="1" t="s">
        <v>113</v>
      </c>
      <c r="AI16" s="1" t="s">
        <v>113</v>
      </c>
      <c r="AJ16" s="1" t="s">
        <v>113</v>
      </c>
      <c r="AK16" s="1" t="s">
        <v>113</v>
      </c>
      <c r="AL16" s="1" t="s">
        <v>429</v>
      </c>
      <c r="AM16" s="1" t="s">
        <v>430</v>
      </c>
      <c r="AN16" s="1" t="s">
        <v>324</v>
      </c>
      <c r="AO16" s="1" t="s">
        <v>431</v>
      </c>
      <c r="AP16" s="1" t="s">
        <v>113</v>
      </c>
      <c r="AQ16" s="1" t="s">
        <v>113</v>
      </c>
      <c r="AR16" s="1" t="s">
        <v>113</v>
      </c>
      <c r="AS16" s="1" t="s">
        <v>113</v>
      </c>
      <c r="AT16" s="1" t="s">
        <v>113</v>
      </c>
      <c r="AU16" s="1" t="s">
        <v>432</v>
      </c>
      <c r="AV16" s="1" t="s">
        <v>149</v>
      </c>
    </row>
    <row r="17" spans="1:48" ht="12.95" customHeight="1" x14ac:dyDescent="0.2">
      <c r="A17" s="4" t="s">
        <v>433</v>
      </c>
      <c r="B17" s="4" t="s">
        <v>434</v>
      </c>
      <c r="C17" s="3" t="s">
        <v>112</v>
      </c>
      <c r="D17" s="1" t="s">
        <v>113</v>
      </c>
      <c r="E17" s="1" t="s">
        <v>435</v>
      </c>
      <c r="F17" s="1" t="s">
        <v>113</v>
      </c>
      <c r="G17" s="1" t="s">
        <v>436</v>
      </c>
      <c r="H17" s="1" t="s">
        <v>437</v>
      </c>
      <c r="I17" s="1" t="s">
        <v>438</v>
      </c>
      <c r="J17" s="1" t="s">
        <v>439</v>
      </c>
      <c r="K17" s="1" t="s">
        <v>440</v>
      </c>
      <c r="L17" s="1" t="s">
        <v>441</v>
      </c>
      <c r="M17" s="1" t="s">
        <v>442</v>
      </c>
      <c r="N17" s="1" t="s">
        <v>443</v>
      </c>
      <c r="O17" s="1" t="s">
        <v>444</v>
      </c>
      <c r="P17" s="1" t="s">
        <v>445</v>
      </c>
      <c r="Q17" s="1" t="s">
        <v>446</v>
      </c>
      <c r="R17" s="1" t="s">
        <v>447</v>
      </c>
      <c r="S17" s="1" t="s">
        <v>448</v>
      </c>
      <c r="T17" s="1" t="s">
        <v>449</v>
      </c>
      <c r="U17" s="1" t="s">
        <v>450</v>
      </c>
      <c r="V17" s="1" t="s">
        <v>451</v>
      </c>
      <c r="W17" s="1" t="s">
        <v>452</v>
      </c>
      <c r="X17" s="1" t="s">
        <v>453</v>
      </c>
      <c r="Y17" s="1" t="s">
        <v>454</v>
      </c>
      <c r="Z17" s="1" t="s">
        <v>455</v>
      </c>
      <c r="AA17" s="1" t="s">
        <v>113</v>
      </c>
      <c r="AB17" s="1" t="s">
        <v>456</v>
      </c>
      <c r="AC17" s="1" t="s">
        <v>113</v>
      </c>
      <c r="AD17" s="1" t="s">
        <v>457</v>
      </c>
      <c r="AE17" s="1" t="s">
        <v>458</v>
      </c>
      <c r="AF17" s="1" t="s">
        <v>459</v>
      </c>
      <c r="AG17" s="1" t="s">
        <v>460</v>
      </c>
      <c r="AH17" s="1" t="s">
        <v>113</v>
      </c>
      <c r="AI17" s="1" t="s">
        <v>113</v>
      </c>
      <c r="AJ17" s="1" t="s">
        <v>113</v>
      </c>
      <c r="AK17" s="1" t="s">
        <v>429</v>
      </c>
      <c r="AL17" s="1" t="s">
        <v>461</v>
      </c>
      <c r="AM17" s="1" t="s">
        <v>113</v>
      </c>
      <c r="AN17" s="1" t="s">
        <v>462</v>
      </c>
      <c r="AO17" s="1" t="s">
        <v>113</v>
      </c>
      <c r="AP17" s="1" t="s">
        <v>463</v>
      </c>
      <c r="AQ17" s="1" t="s">
        <v>464</v>
      </c>
      <c r="AR17" s="1" t="s">
        <v>465</v>
      </c>
      <c r="AS17" s="1" t="s">
        <v>466</v>
      </c>
      <c r="AT17" s="1" t="s">
        <v>467</v>
      </c>
      <c r="AU17" s="1" t="s">
        <v>113</v>
      </c>
      <c r="AV17" s="1" t="s">
        <v>381</v>
      </c>
    </row>
    <row r="18" spans="1:48" ht="12.95" customHeight="1" x14ac:dyDescent="0.2">
      <c r="A18" s="4" t="s">
        <v>468</v>
      </c>
      <c r="B18" s="4" t="s">
        <v>469</v>
      </c>
      <c r="C18" s="3" t="s">
        <v>112</v>
      </c>
      <c r="D18" s="1" t="s">
        <v>113</v>
      </c>
      <c r="E18" s="1" t="s">
        <v>470</v>
      </c>
      <c r="F18" s="1" t="s">
        <v>113</v>
      </c>
      <c r="G18" s="1" t="s">
        <v>113</v>
      </c>
      <c r="H18" s="1" t="s">
        <v>113</v>
      </c>
      <c r="I18" s="1" t="s">
        <v>113</v>
      </c>
      <c r="J18" s="1" t="s">
        <v>113</v>
      </c>
      <c r="K18" s="1" t="s">
        <v>113</v>
      </c>
      <c r="L18" s="1" t="s">
        <v>113</v>
      </c>
      <c r="M18" s="1" t="s">
        <v>113</v>
      </c>
      <c r="N18" s="1" t="s">
        <v>113</v>
      </c>
      <c r="O18" s="1" t="s">
        <v>113</v>
      </c>
      <c r="P18" s="1" t="s">
        <v>113</v>
      </c>
      <c r="Q18" s="1" t="s">
        <v>113</v>
      </c>
      <c r="R18" s="1" t="s">
        <v>471</v>
      </c>
      <c r="S18" s="1" t="s">
        <v>113</v>
      </c>
      <c r="T18" s="1" t="s">
        <v>113</v>
      </c>
      <c r="U18" s="1" t="s">
        <v>113</v>
      </c>
      <c r="V18" s="1" t="s">
        <v>113</v>
      </c>
      <c r="W18" s="1" t="s">
        <v>113</v>
      </c>
      <c r="X18" s="1" t="s">
        <v>113</v>
      </c>
      <c r="Y18" s="1" t="s">
        <v>113</v>
      </c>
      <c r="Z18" s="1" t="s">
        <v>113</v>
      </c>
      <c r="AA18" s="1" t="s">
        <v>113</v>
      </c>
      <c r="AB18" s="1" t="s">
        <v>345</v>
      </c>
      <c r="AC18" s="1" t="s">
        <v>113</v>
      </c>
      <c r="AD18" s="1" t="s">
        <v>113</v>
      </c>
      <c r="AE18" s="1" t="s">
        <v>113</v>
      </c>
      <c r="AF18" s="1" t="s">
        <v>113</v>
      </c>
      <c r="AG18" s="1" t="s">
        <v>113</v>
      </c>
      <c r="AH18" s="1" t="s">
        <v>113</v>
      </c>
      <c r="AI18" s="1" t="s">
        <v>113</v>
      </c>
      <c r="AJ18" s="1" t="s">
        <v>113</v>
      </c>
      <c r="AK18" s="1" t="s">
        <v>113</v>
      </c>
      <c r="AL18" s="1" t="s">
        <v>113</v>
      </c>
      <c r="AM18" s="1" t="s">
        <v>113</v>
      </c>
      <c r="AN18" s="1" t="s">
        <v>472</v>
      </c>
      <c r="AO18" s="1" t="s">
        <v>113</v>
      </c>
      <c r="AP18" s="1" t="s">
        <v>113</v>
      </c>
      <c r="AQ18" s="1" t="s">
        <v>113</v>
      </c>
      <c r="AR18" s="1" t="s">
        <v>113</v>
      </c>
      <c r="AS18" s="1" t="s">
        <v>113</v>
      </c>
      <c r="AT18" s="1" t="s">
        <v>113</v>
      </c>
      <c r="AU18" s="1" t="s">
        <v>113</v>
      </c>
      <c r="AV18" s="1" t="s">
        <v>473</v>
      </c>
    </row>
    <row r="19" spans="1:48" ht="12.95" customHeight="1" x14ac:dyDescent="0.2">
      <c r="A19" s="4" t="s">
        <v>474</v>
      </c>
      <c r="B19" s="4" t="s">
        <v>475</v>
      </c>
      <c r="C19" s="3" t="s">
        <v>112</v>
      </c>
      <c r="D19" s="1" t="s">
        <v>113</v>
      </c>
      <c r="E19" s="1" t="s">
        <v>476</v>
      </c>
      <c r="F19" s="1" t="s">
        <v>113</v>
      </c>
      <c r="G19" s="1" t="s">
        <v>113</v>
      </c>
      <c r="H19" s="1" t="s">
        <v>113</v>
      </c>
      <c r="I19" s="1" t="s">
        <v>113</v>
      </c>
      <c r="J19" s="1" t="s">
        <v>113</v>
      </c>
      <c r="K19" s="1" t="s">
        <v>113</v>
      </c>
      <c r="L19" s="1" t="s">
        <v>113</v>
      </c>
      <c r="M19" s="1" t="s">
        <v>113</v>
      </c>
      <c r="N19" s="1" t="s">
        <v>113</v>
      </c>
      <c r="O19" s="1" t="s">
        <v>113</v>
      </c>
      <c r="P19" s="1" t="s">
        <v>113</v>
      </c>
      <c r="Q19" s="1" t="s">
        <v>113</v>
      </c>
      <c r="R19" s="1" t="s">
        <v>477</v>
      </c>
      <c r="S19" s="1" t="s">
        <v>113</v>
      </c>
      <c r="T19" s="1" t="s">
        <v>113</v>
      </c>
      <c r="U19" s="1" t="s">
        <v>113</v>
      </c>
      <c r="V19" s="1" t="s">
        <v>113</v>
      </c>
      <c r="W19" s="1" t="s">
        <v>113</v>
      </c>
      <c r="X19" s="1" t="s">
        <v>113</v>
      </c>
      <c r="Y19" s="1" t="s">
        <v>113</v>
      </c>
      <c r="Z19" s="1" t="s">
        <v>113</v>
      </c>
      <c r="AA19" s="1" t="s">
        <v>113</v>
      </c>
      <c r="AB19" s="1" t="s">
        <v>478</v>
      </c>
      <c r="AC19" s="1" t="s">
        <v>113</v>
      </c>
      <c r="AD19" s="1" t="s">
        <v>113</v>
      </c>
      <c r="AE19" s="1" t="s">
        <v>113</v>
      </c>
      <c r="AF19" s="1" t="s">
        <v>113</v>
      </c>
      <c r="AG19" s="1" t="s">
        <v>113</v>
      </c>
      <c r="AH19" s="1" t="s">
        <v>113</v>
      </c>
      <c r="AI19" s="1" t="s">
        <v>113</v>
      </c>
      <c r="AJ19" s="1" t="s">
        <v>113</v>
      </c>
      <c r="AK19" s="1" t="s">
        <v>113</v>
      </c>
      <c r="AL19" s="1" t="s">
        <v>113</v>
      </c>
      <c r="AM19" s="1" t="s">
        <v>113</v>
      </c>
      <c r="AN19" s="1" t="s">
        <v>479</v>
      </c>
      <c r="AO19" s="1" t="s">
        <v>113</v>
      </c>
      <c r="AP19" s="1" t="s">
        <v>113</v>
      </c>
      <c r="AQ19" s="1" t="s">
        <v>113</v>
      </c>
      <c r="AR19" s="1" t="s">
        <v>113</v>
      </c>
      <c r="AS19" s="1" t="s">
        <v>113</v>
      </c>
      <c r="AT19" s="1" t="s">
        <v>113</v>
      </c>
      <c r="AU19" s="1" t="s">
        <v>113</v>
      </c>
      <c r="AV19" s="1" t="s">
        <v>276</v>
      </c>
    </row>
    <row r="20" spans="1:48" ht="12.95" customHeight="1" x14ac:dyDescent="0.2">
      <c r="A20" s="4" t="s">
        <v>480</v>
      </c>
      <c r="B20" s="4" t="s">
        <v>481</v>
      </c>
      <c r="C20" s="3" t="s">
        <v>112</v>
      </c>
      <c r="D20" s="1" t="s">
        <v>113</v>
      </c>
      <c r="E20" s="1" t="s">
        <v>482</v>
      </c>
      <c r="F20" s="1" t="s">
        <v>113</v>
      </c>
      <c r="G20" s="1" t="s">
        <v>113</v>
      </c>
      <c r="H20" s="1" t="s">
        <v>113</v>
      </c>
      <c r="I20" s="1" t="s">
        <v>113</v>
      </c>
      <c r="J20" s="1" t="s">
        <v>113</v>
      </c>
      <c r="K20" s="1" t="s">
        <v>113</v>
      </c>
      <c r="L20" s="1" t="s">
        <v>113</v>
      </c>
      <c r="M20" s="1" t="s">
        <v>113</v>
      </c>
      <c r="N20" s="1" t="s">
        <v>113</v>
      </c>
      <c r="O20" s="1" t="s">
        <v>113</v>
      </c>
      <c r="P20" s="1" t="s">
        <v>113</v>
      </c>
      <c r="Q20" s="1" t="s">
        <v>113</v>
      </c>
      <c r="R20" s="1" t="s">
        <v>483</v>
      </c>
      <c r="S20" s="1" t="s">
        <v>113</v>
      </c>
      <c r="T20" s="1" t="s">
        <v>113</v>
      </c>
      <c r="U20" s="1" t="s">
        <v>113</v>
      </c>
      <c r="V20" s="1" t="s">
        <v>113</v>
      </c>
      <c r="W20" s="1" t="s">
        <v>113</v>
      </c>
      <c r="X20" s="1" t="s">
        <v>113</v>
      </c>
      <c r="Y20" s="1" t="s">
        <v>113</v>
      </c>
      <c r="Z20" s="1" t="s">
        <v>113</v>
      </c>
      <c r="AA20" s="1" t="s">
        <v>113</v>
      </c>
      <c r="AB20" s="1" t="s">
        <v>484</v>
      </c>
      <c r="AC20" s="1" t="s">
        <v>485</v>
      </c>
      <c r="AD20" s="1" t="s">
        <v>486</v>
      </c>
      <c r="AE20" s="1" t="s">
        <v>487</v>
      </c>
      <c r="AF20" s="1" t="s">
        <v>488</v>
      </c>
      <c r="AG20" s="1" t="s">
        <v>489</v>
      </c>
      <c r="AH20" s="1" t="s">
        <v>113</v>
      </c>
      <c r="AI20" s="1" t="s">
        <v>113</v>
      </c>
      <c r="AJ20" s="1" t="s">
        <v>113</v>
      </c>
      <c r="AK20" s="1" t="s">
        <v>113</v>
      </c>
      <c r="AL20" s="1" t="s">
        <v>490</v>
      </c>
      <c r="AM20" s="1" t="s">
        <v>113</v>
      </c>
      <c r="AN20" s="1" t="s">
        <v>491</v>
      </c>
      <c r="AO20" s="1" t="s">
        <v>113</v>
      </c>
      <c r="AP20" s="1" t="s">
        <v>113</v>
      </c>
      <c r="AQ20" s="1" t="s">
        <v>113</v>
      </c>
      <c r="AR20" s="1" t="s">
        <v>113</v>
      </c>
      <c r="AS20" s="1" t="s">
        <v>113</v>
      </c>
      <c r="AT20" s="1" t="s">
        <v>113</v>
      </c>
      <c r="AU20" s="1" t="s">
        <v>113</v>
      </c>
      <c r="AV20" s="1" t="s">
        <v>492</v>
      </c>
    </row>
    <row r="21" spans="1:48" ht="12.95" customHeight="1" x14ac:dyDescent="0.2">
      <c r="A21" s="4" t="s">
        <v>114</v>
      </c>
      <c r="B21" s="4" t="s">
        <v>115</v>
      </c>
      <c r="C21" s="3" t="s">
        <v>112</v>
      </c>
      <c r="D21" s="1" t="s">
        <v>116</v>
      </c>
      <c r="E21" s="1" t="s">
        <v>117</v>
      </c>
      <c r="F21" s="1" t="s">
        <v>113</v>
      </c>
      <c r="G21" s="1" t="s">
        <v>113</v>
      </c>
      <c r="H21" s="1" t="s">
        <v>113</v>
      </c>
      <c r="I21" s="1" t="s">
        <v>118</v>
      </c>
      <c r="J21" s="1" t="s">
        <v>113</v>
      </c>
      <c r="K21" s="1" t="s">
        <v>113</v>
      </c>
      <c r="L21" s="1" t="s">
        <v>119</v>
      </c>
      <c r="M21" s="1" t="s">
        <v>113</v>
      </c>
      <c r="N21" s="1" t="s">
        <v>120</v>
      </c>
      <c r="O21" s="1" t="s">
        <v>113</v>
      </c>
      <c r="P21" s="1" t="s">
        <v>113</v>
      </c>
      <c r="Q21" s="1" t="s">
        <v>113</v>
      </c>
      <c r="R21" s="1" t="s">
        <v>121</v>
      </c>
      <c r="S21" s="1" t="s">
        <v>113</v>
      </c>
      <c r="T21" s="1" t="s">
        <v>113</v>
      </c>
      <c r="U21" s="1" t="s">
        <v>113</v>
      </c>
      <c r="V21" s="1" t="s">
        <v>113</v>
      </c>
      <c r="W21" s="1" t="s">
        <v>113</v>
      </c>
      <c r="X21" s="1" t="s">
        <v>113</v>
      </c>
      <c r="Y21" s="1" t="s">
        <v>113</v>
      </c>
      <c r="Z21" s="1" t="s">
        <v>113</v>
      </c>
      <c r="AA21" s="1" t="s">
        <v>122</v>
      </c>
      <c r="AB21" s="1" t="s">
        <v>123</v>
      </c>
      <c r="AC21" s="1" t="s">
        <v>113</v>
      </c>
      <c r="AD21" s="1" t="s">
        <v>113</v>
      </c>
      <c r="AE21" s="1" t="s">
        <v>113</v>
      </c>
      <c r="AF21" s="1" t="s">
        <v>113</v>
      </c>
      <c r="AG21" s="1" t="s">
        <v>113</v>
      </c>
      <c r="AH21" s="1" t="s">
        <v>113</v>
      </c>
      <c r="AI21" s="1" t="s">
        <v>113</v>
      </c>
      <c r="AJ21" s="1" t="s">
        <v>113</v>
      </c>
      <c r="AK21" s="1" t="s">
        <v>124</v>
      </c>
      <c r="AL21" s="1" t="s">
        <v>113</v>
      </c>
      <c r="AM21" s="1" t="s">
        <v>125</v>
      </c>
      <c r="AN21" s="1" t="s">
        <v>126</v>
      </c>
      <c r="AO21" s="1" t="s">
        <v>113</v>
      </c>
      <c r="AP21" s="1" t="s">
        <v>113</v>
      </c>
      <c r="AQ21" s="1" t="s">
        <v>113</v>
      </c>
      <c r="AR21" s="1" t="s">
        <v>113</v>
      </c>
      <c r="AS21" s="1" t="s">
        <v>113</v>
      </c>
      <c r="AT21" s="1" t="s">
        <v>113</v>
      </c>
      <c r="AU21" s="1" t="s">
        <v>127</v>
      </c>
      <c r="AV21" s="1" t="s">
        <v>128</v>
      </c>
    </row>
    <row r="24" spans="1:48" x14ac:dyDescent="0.2">
      <c r="A24">
        <f>$A$1</f>
        <v>0</v>
      </c>
      <c r="B24">
        <f>$B$1</f>
        <v>0</v>
      </c>
      <c r="C24">
        <f>$C$1</f>
        <v>0</v>
      </c>
      <c r="D24" t="str">
        <f>$D$1</f>
        <v>High CCV Inj.
1</v>
      </c>
      <c r="E24" t="str">
        <f>$E$1</f>
        <v>Low CCV Inj.
1</v>
      </c>
      <c r="F24" t="str">
        <f>$F$1</f>
        <v>BS-CIPs-8594
Inj. 1</v>
      </c>
      <c r="G24" t="str">
        <f>$G$1</f>
        <v>Dup-15042
Inj. 1</v>
      </c>
      <c r="H24" t="str">
        <f>$H$1</f>
        <v>15042 Inj. 1</v>
      </c>
      <c r="I24" t="str">
        <f>$I$1</f>
        <v>15042-1 Inj. 1</v>
      </c>
      <c r="J24" t="str">
        <f>$J$1</f>
        <v>15042-2 Inj. 1</v>
      </c>
      <c r="K24" t="str">
        <f>$K$1</f>
        <v>15043 Inj. 1</v>
      </c>
      <c r="L24" t="str">
        <f>$L$1</f>
        <v>15043-1 Inj. 1</v>
      </c>
      <c r="M24" t="str">
        <f>$M$1</f>
        <v>15043-2 Inj. 1</v>
      </c>
      <c r="N24" t="str">
        <f>$N$1</f>
        <v>15044 Inj. 1</v>
      </c>
      <c r="O24" t="str">
        <f>$O$1</f>
        <v>15044-1 Inj. 1</v>
      </c>
      <c r="P24" t="str">
        <f>$P$1</f>
        <v>15044-2 Inj. 1</v>
      </c>
      <c r="Q24" t="str">
        <f>$Q$1</f>
        <v>15045 Inj. 1</v>
      </c>
      <c r="R24" t="str">
        <f>$R$1</f>
        <v>Low CCV Inj.
1</v>
      </c>
      <c r="S24" t="str">
        <f>$S$1</f>
        <v>15045-1 Inj. 1</v>
      </c>
      <c r="T24" t="str">
        <f>$T$1</f>
        <v>15045-2 Inj. 1</v>
      </c>
      <c r="U24" t="str">
        <f>$U$1</f>
        <v>15046 Inj. 1</v>
      </c>
      <c r="V24" t="str">
        <f>$V$1</f>
        <v>15046-1 Inj. 1</v>
      </c>
      <c r="W24" t="str">
        <f>$W$1</f>
        <v>15046-2 Inj. 1</v>
      </c>
      <c r="X24" t="str">
        <f>$X$1</f>
        <v>15047 Inj. 1</v>
      </c>
      <c r="Y24" t="str">
        <f>$Y$1</f>
        <v>15047-1 Inj. 1</v>
      </c>
      <c r="Z24" t="str">
        <f>$Z$1</f>
        <v>15047-2 Inj. 1</v>
      </c>
      <c r="AA24" t="str">
        <f>$AA$1</f>
        <v>High CCV Inj.
1</v>
      </c>
      <c r="AB24" t="str">
        <f>$AB$1</f>
        <v>Low CCV Inj.
1</v>
      </c>
      <c r="AC24" t="str">
        <f>$AC$1</f>
        <v>BS-LDB-8600
Inj. 1</v>
      </c>
      <c r="AD24" t="str">
        <f>$AD$1</f>
        <v>Dup-15049
Inj. 1</v>
      </c>
      <c r="AE24" t="str">
        <f>$AE$1</f>
        <v>15049 Inj. 1</v>
      </c>
      <c r="AF24" t="str">
        <f>$AF$1</f>
        <v>15049-1 Inj. 1</v>
      </c>
      <c r="AG24" t="str">
        <f>$AG$1</f>
        <v>15049-2 Inj. 1</v>
      </c>
      <c r="AH24" t="str">
        <f>$AH$1</f>
        <v>15050 Inj. 1</v>
      </c>
      <c r="AI24" t="str">
        <f>$AI$1</f>
        <v>15050-1 Inj. 1</v>
      </c>
      <c r="AJ24" t="str">
        <f>$AJ$1</f>
        <v>15050-2 Inj. 1</v>
      </c>
      <c r="AK24" t="str">
        <f>$AK$1</f>
        <v>15085 Inj. 1</v>
      </c>
      <c r="AL24" t="str">
        <f>$AL$1</f>
        <v>15086 Inj. 1</v>
      </c>
      <c r="AM24" t="str">
        <f>$AM$1</f>
        <v>High CCV Inj.
1</v>
      </c>
      <c r="AN24" t="str">
        <f>$AN$1</f>
        <v>Low CCV Inj.
1</v>
      </c>
      <c r="AO24" t="str">
        <f>$AO$1</f>
        <v>BS-CIPs-8596
Inj. 1</v>
      </c>
      <c r="AP24" t="str">
        <f>$AP$1</f>
        <v>Dup-15061
Inj. 1</v>
      </c>
      <c r="AQ24" t="str">
        <f>$AQ$1</f>
        <v>15061 Inj. 1</v>
      </c>
      <c r="AR24" t="str">
        <f>$AR$1</f>
        <v>15061-1 Inj. 1</v>
      </c>
      <c r="AS24" t="str">
        <f>$AS$1</f>
        <v>15061-2 Inj. 1</v>
      </c>
      <c r="AT24" t="str">
        <f>$AT$1</f>
        <v>15063 Inj. 1</v>
      </c>
      <c r="AU24" t="str">
        <f>$AU$1</f>
        <v>High CCV Inj.
1</v>
      </c>
      <c r="AV24" t="str">
        <f>$AV$1</f>
        <v>Low CCV Inj.
1</v>
      </c>
    </row>
    <row r="25" spans="1:48" x14ac:dyDescent="0.2">
      <c r="A25" t="str">
        <f>$A$2</f>
        <v>2.11</v>
      </c>
      <c r="B25" t="str">
        <f>$B$2</f>
        <v>CBDVA</v>
      </c>
      <c r="C25" t="str">
        <f>$C$2</f>
        <v>Compou
nd
Amount</v>
      </c>
      <c r="D25" s="7">
        <f>IF(ISNUMBER(SEARCH("High",D1)), $D$2/0.1, IF(ISNUMBER(SEARCH("Low",D1)), $D$2/0.025, "No"))</f>
        <v>0</v>
      </c>
      <c r="E25" s="7">
        <f>IF(ISNUMBER(SEARCH("High",E1)), $E$2/0.1, IF(ISNUMBER(SEARCH("Low",E1)), $E$2/0.025, "No"))</f>
        <v>1.1619999999999999</v>
      </c>
      <c r="F25" s="7" t="str">
        <f>IF(ISNUMBER(SEARCH("High",F1)), $F$2/0.1, IF(ISNUMBER(SEARCH("Low",F1)), $F$2/0.025, "No"))</f>
        <v>No</v>
      </c>
      <c r="G25" s="7" t="str">
        <f>IF(ISNUMBER(SEARCH("High",G1)), $G$2/0.1, IF(ISNUMBER(SEARCH("Low",G1)), $G$2/0.025, "No"))</f>
        <v>No</v>
      </c>
      <c r="H25" s="7" t="str">
        <f>IF(ISNUMBER(SEARCH("High",H1)), $H$2/0.1, IF(ISNUMBER(SEARCH("Low",H1)), $H$2/0.025, "No"))</f>
        <v>No</v>
      </c>
      <c r="I25" s="7" t="str">
        <f>IF(ISNUMBER(SEARCH("High",I1)), $I$2/0.1, IF(ISNUMBER(SEARCH("Low",I1)), $I$2/0.025, "No"))</f>
        <v>No</v>
      </c>
      <c r="J25" s="7" t="str">
        <f>IF(ISNUMBER(SEARCH("High",J1)), $J$2/0.1, IF(ISNUMBER(SEARCH("Low",J1)), $J$2/0.025, "No"))</f>
        <v>No</v>
      </c>
      <c r="K25" s="7" t="str">
        <f>IF(ISNUMBER(SEARCH("High",K1)), $K$2/0.1, IF(ISNUMBER(SEARCH("Low",K1)), $K$2/0.025, "No"))</f>
        <v>No</v>
      </c>
      <c r="L25" s="7" t="str">
        <f>IF(ISNUMBER(SEARCH("High",L1)), $L$2/0.1, IF(ISNUMBER(SEARCH("Low",L1)), $L$2/0.025, "No"))</f>
        <v>No</v>
      </c>
      <c r="M25" s="7" t="str">
        <f>IF(ISNUMBER(SEARCH("High",M1)), $M$2/0.1, IF(ISNUMBER(SEARCH("Low",M1)), $M$2/0.025, "No"))</f>
        <v>No</v>
      </c>
      <c r="N25" s="7" t="str">
        <f>IF(ISNUMBER(SEARCH("High",N1)), $N$2/0.1, IF(ISNUMBER(SEARCH("Low",N1)), $N$2/0.025, "No"))</f>
        <v>No</v>
      </c>
      <c r="O25" s="7" t="str">
        <f>IF(ISNUMBER(SEARCH("High",O1)), $O$2/0.1, IF(ISNUMBER(SEARCH("Low",O1)), $O$2/0.025, "No"))</f>
        <v>No</v>
      </c>
      <c r="P25" s="7" t="str">
        <f>IF(ISNUMBER(SEARCH("High",P1)), $P$2/0.1, IF(ISNUMBER(SEARCH("Low",P1)), $P$2/0.025, "No"))</f>
        <v>No</v>
      </c>
      <c r="Q25" s="7" t="str">
        <f>IF(ISNUMBER(SEARCH("High",Q1)), $Q$2/0.1, IF(ISNUMBER(SEARCH("Low",Q1)), $Q$2/0.025, "No"))</f>
        <v>No</v>
      </c>
      <c r="R25" s="7">
        <f>IF(ISNUMBER(SEARCH("High",R1)), $R$2/0.1, IF(ISNUMBER(SEARCH("Low",R1)), $R$2/0.025, "No"))</f>
        <v>1.1372</v>
      </c>
      <c r="S25" s="7" t="str">
        <f>IF(ISNUMBER(SEARCH("High",S1)), $S$2/0.1, IF(ISNUMBER(SEARCH("Low",S1)), $S$2/0.025, "No"))</f>
        <v>No</v>
      </c>
      <c r="T25" s="7" t="str">
        <f>IF(ISNUMBER(SEARCH("High",T1)), $T$2/0.1, IF(ISNUMBER(SEARCH("Low",T1)), $T$2/0.025, "No"))</f>
        <v>No</v>
      </c>
      <c r="U25" s="7" t="str">
        <f>IF(ISNUMBER(SEARCH("High",U1)), $U$2/0.1, IF(ISNUMBER(SEARCH("Low",U1)), $U$2/0.025, "No"))</f>
        <v>No</v>
      </c>
      <c r="V25" s="7" t="str">
        <f>IF(ISNUMBER(SEARCH("High",V1)), $V$2/0.1, IF(ISNUMBER(SEARCH("Low",V1)), $V$2/0.025, "No"))</f>
        <v>No</v>
      </c>
      <c r="W25" s="7" t="str">
        <f>IF(ISNUMBER(SEARCH("High",W1)), $W$2/0.1, IF(ISNUMBER(SEARCH("Low",W1)), $W$2/0.025, "No"))</f>
        <v>No</v>
      </c>
      <c r="X25" s="7" t="str">
        <f>IF(ISNUMBER(SEARCH("High",X1)), $X$2/0.1, IF(ISNUMBER(SEARCH("Low",X1)), $X$2/0.025, "No"))</f>
        <v>No</v>
      </c>
      <c r="Y25" s="7" t="str">
        <f>IF(ISNUMBER(SEARCH("High",Y1)), $Y$2/0.1, IF(ISNUMBER(SEARCH("Low",Y1)), $Y$2/0.025, "No"))</f>
        <v>No</v>
      </c>
      <c r="Z25" s="7" t="str">
        <f>IF(ISNUMBER(SEARCH("High",Z1)), $Z$2/0.1, IF(ISNUMBER(SEARCH("Low",Z1)), $Z$2/0.025, "No"))</f>
        <v>No</v>
      </c>
      <c r="AA25" s="7">
        <f>IF(ISNUMBER(SEARCH("High",AA1)), $AA$2/0.1, IF(ISNUMBER(SEARCH("Low",AA1)), $AA$2/0.025, "No"))</f>
        <v>0</v>
      </c>
      <c r="AB25" s="7">
        <f>IF(ISNUMBER(SEARCH("High",AB1)), $AB$2/0.1, IF(ISNUMBER(SEARCH("Low",AB1)), $AB$2/0.025, "No"))</f>
        <v>1.1175999999999999</v>
      </c>
      <c r="AC25" s="7" t="str">
        <f>IF(ISNUMBER(SEARCH("High",AC1)), $AC$2/0.1, IF(ISNUMBER(SEARCH("Low",AC1)), $AC$2/0.025, "No"))</f>
        <v>No</v>
      </c>
      <c r="AD25" s="7" t="str">
        <f>IF(ISNUMBER(SEARCH("High",AD1)), $AD$2/0.1, IF(ISNUMBER(SEARCH("Low",AD1)), $AD$2/0.025, "No"))</f>
        <v>No</v>
      </c>
      <c r="AE25" s="7" t="str">
        <f>IF(ISNUMBER(SEARCH("High",AE1)), $AE$2/0.1, IF(ISNUMBER(SEARCH("Low",AE1)), $AE$2/0.025, "No"))</f>
        <v>No</v>
      </c>
      <c r="AF25" s="7" t="str">
        <f>IF(ISNUMBER(SEARCH("High",AF1)), $AF$2/0.1, IF(ISNUMBER(SEARCH("Low",AF1)), $AF$2/0.025, "No"))</f>
        <v>No</v>
      </c>
      <c r="AG25" s="7" t="str">
        <f>IF(ISNUMBER(SEARCH("High",AG1)), $AG$2/0.1, IF(ISNUMBER(SEARCH("Low",AG1)), $AG$2/0.025, "No"))</f>
        <v>No</v>
      </c>
      <c r="AH25" s="7" t="str">
        <f>IF(ISNUMBER(SEARCH("High",AH1)), $AH$2/0.1, IF(ISNUMBER(SEARCH("Low",AH1)), $AH$2/0.025, "No"))</f>
        <v>No</v>
      </c>
      <c r="AI25" s="7" t="str">
        <f>IF(ISNUMBER(SEARCH("High",AI1)), $AI$2/0.1, IF(ISNUMBER(SEARCH("Low",AI1)), $AI$2/0.025, "No"))</f>
        <v>No</v>
      </c>
      <c r="AJ25" s="7" t="str">
        <f>IF(ISNUMBER(SEARCH("High",AJ1)), $AJ$2/0.1, IF(ISNUMBER(SEARCH("Low",AJ1)), $AJ$2/0.025, "No"))</f>
        <v>No</v>
      </c>
      <c r="AK25" s="7" t="str">
        <f>IF(ISNUMBER(SEARCH("High",AK1)), $AK$2/0.1, IF(ISNUMBER(SEARCH("Low",AK1)), $AK$2/0.025, "No"))</f>
        <v>No</v>
      </c>
      <c r="AL25" s="7" t="str">
        <f>IF(ISNUMBER(SEARCH("High",AL1)), $AL$2/0.1, IF(ISNUMBER(SEARCH("Low",AL1)), $AL$2/0.025, "No"))</f>
        <v>No</v>
      </c>
      <c r="AM25" s="7">
        <f>IF(ISNUMBER(SEARCH("High",AM1)), $AM$2/0.1, IF(ISNUMBER(SEARCH("Low",AM1)), $AM$2/0.025, "No"))</f>
        <v>0</v>
      </c>
      <c r="AN25" s="7">
        <f>IF(ISNUMBER(SEARCH("High",AN1)), $AN$2/0.1, IF(ISNUMBER(SEARCH("Low",AN1)), $AN$2/0.025, "No"))</f>
        <v>1.1115999999999999</v>
      </c>
      <c r="AO25" s="7" t="str">
        <f>IF(ISNUMBER(SEARCH("High",AO1)), $AO$2/0.1, IF(ISNUMBER(SEARCH("Low",AO1)), $AO$2/0.025, "No"))</f>
        <v>No</v>
      </c>
      <c r="AP25" s="7" t="str">
        <f>IF(ISNUMBER(SEARCH("High",AP1)), $AP$2/0.1, IF(ISNUMBER(SEARCH("Low",AP1)), $AP$2/0.025, "No"))</f>
        <v>No</v>
      </c>
      <c r="AQ25" s="7" t="str">
        <f>IF(ISNUMBER(SEARCH("High",AQ1)), $AQ$2/0.1, IF(ISNUMBER(SEARCH("Low",AQ1)), $AQ$2/0.025, "No"))</f>
        <v>No</v>
      </c>
      <c r="AR25" s="7" t="str">
        <f>IF(ISNUMBER(SEARCH("High",AR1)), $AR$2/0.1, IF(ISNUMBER(SEARCH("Low",AR1)), $AR$2/0.025, "No"))</f>
        <v>No</v>
      </c>
      <c r="AS25" s="7" t="str">
        <f>IF(ISNUMBER(SEARCH("High",AS1)), $AS$2/0.1, IF(ISNUMBER(SEARCH("Low",AS1)), $AS$2/0.025, "No"))</f>
        <v>No</v>
      </c>
      <c r="AT25" s="7" t="str">
        <f>IF(ISNUMBER(SEARCH("High",AT1)), $AT$2/0.1, IF(ISNUMBER(SEARCH("Low",AT1)), $AT$2/0.025, "No"))</f>
        <v>No</v>
      </c>
      <c r="AU25" s="7">
        <f>IF(ISNUMBER(SEARCH("High",AU1)), $AU$2/0.1, IF(ISNUMBER(SEARCH("Low",AU1)), $AU$2/0.025, "No"))</f>
        <v>0</v>
      </c>
      <c r="AV25" s="7">
        <f>IF(ISNUMBER(SEARCH("High",AV1)), $AV$2/0.1, IF(ISNUMBER(SEARCH("Low",AV1)), $AV$2/0.025, "No"))</f>
        <v>1.1103999999999998</v>
      </c>
    </row>
    <row r="26" spans="1:48" x14ac:dyDescent="0.2">
      <c r="A26" t="str">
        <f>$A$3</f>
        <v>2.42</v>
      </c>
      <c r="B26" t="str">
        <f>$B$3</f>
        <v>CBDV</v>
      </c>
      <c r="C26" t="str">
        <f>$C$3</f>
        <v>Compou
nd
Amount</v>
      </c>
      <c r="D26" s="7">
        <f>IF(ISNUMBER(SEARCH("High",D1)), $D$3/0.1, IF(ISNUMBER(SEARCH("Low",D1)), $D$3/0.025, "No"))</f>
        <v>0</v>
      </c>
      <c r="E26" s="7">
        <f>IF(ISNUMBER(SEARCH("High",E1)), $E$3/0.1, IF(ISNUMBER(SEARCH("Low",E1)), $E$3/0.025, "No"))</f>
        <v>1.1072</v>
      </c>
      <c r="F26" s="7" t="str">
        <f>IF(ISNUMBER(SEARCH("High",F1)), $F$3/0.1, IF(ISNUMBER(SEARCH("Low",F1)), $F$3/0.025, "No"))</f>
        <v>No</v>
      </c>
      <c r="G26" s="7" t="str">
        <f>IF(ISNUMBER(SEARCH("High",G1)), $G$3/0.1, IF(ISNUMBER(SEARCH("Low",G1)), $G$3/0.025, "No"))</f>
        <v>No</v>
      </c>
      <c r="H26" s="7" t="str">
        <f>IF(ISNUMBER(SEARCH("High",H1)), $H$3/0.1, IF(ISNUMBER(SEARCH("Low",H1)), $H$3/0.025, "No"))</f>
        <v>No</v>
      </c>
      <c r="I26" s="7" t="str">
        <f>IF(ISNUMBER(SEARCH("High",I1)), $I$3/0.1, IF(ISNUMBER(SEARCH("Low",I1)), $I$3/0.025, "No"))</f>
        <v>No</v>
      </c>
      <c r="J26" s="7" t="str">
        <f>IF(ISNUMBER(SEARCH("High",J1)), $J$3/0.1, IF(ISNUMBER(SEARCH("Low",J1)), $J$3/0.025, "No"))</f>
        <v>No</v>
      </c>
      <c r="K26" s="7" t="str">
        <f>IF(ISNUMBER(SEARCH("High",K1)), $K$3/0.1, IF(ISNUMBER(SEARCH("Low",K1)), $K$3/0.025, "No"))</f>
        <v>No</v>
      </c>
      <c r="L26" s="7" t="str">
        <f>IF(ISNUMBER(SEARCH("High",L1)), $L$3/0.1, IF(ISNUMBER(SEARCH("Low",L1)), $L$3/0.025, "No"))</f>
        <v>No</v>
      </c>
      <c r="M26" s="7" t="str">
        <f>IF(ISNUMBER(SEARCH("High",M1)), $M$3/0.1, IF(ISNUMBER(SEARCH("Low",M1)), $M$3/0.025, "No"))</f>
        <v>No</v>
      </c>
      <c r="N26" s="7" t="str">
        <f>IF(ISNUMBER(SEARCH("High",N1)), $N$3/0.1, IF(ISNUMBER(SEARCH("Low",N1)), $N$3/0.025, "No"))</f>
        <v>No</v>
      </c>
      <c r="O26" s="7" t="str">
        <f>IF(ISNUMBER(SEARCH("High",O1)), $O$3/0.1, IF(ISNUMBER(SEARCH("Low",O1)), $O$3/0.025, "No"))</f>
        <v>No</v>
      </c>
      <c r="P26" s="7" t="str">
        <f>IF(ISNUMBER(SEARCH("High",P1)), $P$3/0.1, IF(ISNUMBER(SEARCH("Low",P1)), $P$3/0.025, "No"))</f>
        <v>No</v>
      </c>
      <c r="Q26" s="7" t="str">
        <f>IF(ISNUMBER(SEARCH("High",Q1)), $Q$3/0.1, IF(ISNUMBER(SEARCH("Low",Q1)), $Q$3/0.025, "No"))</f>
        <v>No</v>
      </c>
      <c r="R26" s="7">
        <f>IF(ISNUMBER(SEARCH("High",R1)), $R$3/0.1, IF(ISNUMBER(SEARCH("Low",R1)), $R$3/0.025, "No"))</f>
        <v>1.0920000000000001</v>
      </c>
      <c r="S26" s="7" t="str">
        <f>IF(ISNUMBER(SEARCH("High",S1)), $S$3/0.1, IF(ISNUMBER(SEARCH("Low",S1)), $S$3/0.025, "No"))</f>
        <v>No</v>
      </c>
      <c r="T26" s="7" t="str">
        <f>IF(ISNUMBER(SEARCH("High",T1)), $T$3/0.1, IF(ISNUMBER(SEARCH("Low",T1)), $T$3/0.025, "No"))</f>
        <v>No</v>
      </c>
      <c r="U26" s="7" t="str">
        <f>IF(ISNUMBER(SEARCH("High",U1)), $U$3/0.1, IF(ISNUMBER(SEARCH("Low",U1)), $U$3/0.025, "No"))</f>
        <v>No</v>
      </c>
      <c r="V26" s="7" t="str">
        <f>IF(ISNUMBER(SEARCH("High",V1)), $V$3/0.1, IF(ISNUMBER(SEARCH("Low",V1)), $V$3/0.025, "No"))</f>
        <v>No</v>
      </c>
      <c r="W26" s="7" t="str">
        <f>IF(ISNUMBER(SEARCH("High",W1)), $W$3/0.1, IF(ISNUMBER(SEARCH("Low",W1)), $W$3/0.025, "No"))</f>
        <v>No</v>
      </c>
      <c r="X26" s="7" t="str">
        <f>IF(ISNUMBER(SEARCH("High",X1)), $X$3/0.1, IF(ISNUMBER(SEARCH("Low",X1)), $X$3/0.025, "No"))</f>
        <v>No</v>
      </c>
      <c r="Y26" s="7" t="str">
        <f>IF(ISNUMBER(SEARCH("High",Y1)), $Y$3/0.1, IF(ISNUMBER(SEARCH("Low",Y1)), $Y$3/0.025, "No"))</f>
        <v>No</v>
      </c>
      <c r="Z26" s="7" t="str">
        <f>IF(ISNUMBER(SEARCH("High",Z1)), $Z$3/0.1, IF(ISNUMBER(SEARCH("Low",Z1)), $Z$3/0.025, "No"))</f>
        <v>No</v>
      </c>
      <c r="AA26" s="7">
        <f>IF(ISNUMBER(SEARCH("High",AA1)), $AA$3/0.1, IF(ISNUMBER(SEARCH("Low",AA1)), $AA$3/0.025, "No"))</f>
        <v>0</v>
      </c>
      <c r="AB26" s="7">
        <f>IF(ISNUMBER(SEARCH("High",AB1)), $AB$3/0.1, IF(ISNUMBER(SEARCH("Low",AB1)), $AB$3/0.025, "No"))</f>
        <v>1.0815999999999999</v>
      </c>
      <c r="AC26" s="7" t="str">
        <f>IF(ISNUMBER(SEARCH("High",AC1)), $AC$3/0.1, IF(ISNUMBER(SEARCH("Low",AC1)), $AC$3/0.025, "No"))</f>
        <v>No</v>
      </c>
      <c r="AD26" s="7" t="str">
        <f>IF(ISNUMBER(SEARCH("High",AD1)), $AD$3/0.1, IF(ISNUMBER(SEARCH("Low",AD1)), $AD$3/0.025, "No"))</f>
        <v>No</v>
      </c>
      <c r="AE26" s="7" t="str">
        <f>IF(ISNUMBER(SEARCH("High",AE1)), $AE$3/0.1, IF(ISNUMBER(SEARCH("Low",AE1)), $AE$3/0.025, "No"))</f>
        <v>No</v>
      </c>
      <c r="AF26" s="7" t="str">
        <f>IF(ISNUMBER(SEARCH("High",AF1)), $AF$3/0.1, IF(ISNUMBER(SEARCH("Low",AF1)), $AF$3/0.025, "No"))</f>
        <v>No</v>
      </c>
      <c r="AG26" s="7" t="str">
        <f>IF(ISNUMBER(SEARCH("High",AG1)), $AG$3/0.1, IF(ISNUMBER(SEARCH("Low",AG1)), $AG$3/0.025, "No"))</f>
        <v>No</v>
      </c>
      <c r="AH26" s="7" t="str">
        <f>IF(ISNUMBER(SEARCH("High",AH1)), $AH$3/0.1, IF(ISNUMBER(SEARCH("Low",AH1)), $AH$3/0.025, "No"))</f>
        <v>No</v>
      </c>
      <c r="AI26" s="7" t="str">
        <f>IF(ISNUMBER(SEARCH("High",AI1)), $AI$3/0.1, IF(ISNUMBER(SEARCH("Low",AI1)), $AI$3/0.025, "No"))</f>
        <v>No</v>
      </c>
      <c r="AJ26" s="7" t="str">
        <f>IF(ISNUMBER(SEARCH("High",AJ1)), $AJ$3/0.1, IF(ISNUMBER(SEARCH("Low",AJ1)), $AJ$3/0.025, "No"))</f>
        <v>No</v>
      </c>
      <c r="AK26" s="7" t="str">
        <f>IF(ISNUMBER(SEARCH("High",AK1)), $AK$3/0.1, IF(ISNUMBER(SEARCH("Low",AK1)), $AK$3/0.025, "No"))</f>
        <v>No</v>
      </c>
      <c r="AL26" s="7" t="str">
        <f>IF(ISNUMBER(SEARCH("High",AL1)), $AL$3/0.1, IF(ISNUMBER(SEARCH("Low",AL1)), $AL$3/0.025, "No"))</f>
        <v>No</v>
      </c>
      <c r="AM26" s="7">
        <f>IF(ISNUMBER(SEARCH("High",AM1)), $AM$3/0.1, IF(ISNUMBER(SEARCH("Low",AM1)), $AM$3/0.025, "No"))</f>
        <v>0</v>
      </c>
      <c r="AN26" s="7">
        <f>IF(ISNUMBER(SEARCH("High",AN1)), $AN$3/0.1, IF(ISNUMBER(SEARCH("Low",AN1)), $AN$3/0.025, "No"))</f>
        <v>1.0775999999999999</v>
      </c>
      <c r="AO26" s="7" t="str">
        <f>IF(ISNUMBER(SEARCH("High",AO1)), $AO$3/0.1, IF(ISNUMBER(SEARCH("Low",AO1)), $AO$3/0.025, "No"))</f>
        <v>No</v>
      </c>
      <c r="AP26" s="7" t="str">
        <f>IF(ISNUMBER(SEARCH("High",AP1)), $AP$3/0.1, IF(ISNUMBER(SEARCH("Low",AP1)), $AP$3/0.025, "No"))</f>
        <v>No</v>
      </c>
      <c r="AQ26" s="7" t="str">
        <f>IF(ISNUMBER(SEARCH("High",AQ1)), $AQ$3/0.1, IF(ISNUMBER(SEARCH("Low",AQ1)), $AQ$3/0.025, "No"))</f>
        <v>No</v>
      </c>
      <c r="AR26" s="7" t="str">
        <f>IF(ISNUMBER(SEARCH("High",AR1)), $AR$3/0.1, IF(ISNUMBER(SEARCH("Low",AR1)), $AR$3/0.025, "No"))</f>
        <v>No</v>
      </c>
      <c r="AS26" s="7" t="str">
        <f>IF(ISNUMBER(SEARCH("High",AS1)), $AS$3/0.1, IF(ISNUMBER(SEARCH("Low",AS1)), $AS$3/0.025, "No"))</f>
        <v>No</v>
      </c>
      <c r="AT26" s="7" t="str">
        <f>IF(ISNUMBER(SEARCH("High",AT1)), $AT$3/0.1, IF(ISNUMBER(SEARCH("Low",AT1)), $AT$3/0.025, "No"))</f>
        <v>No</v>
      </c>
      <c r="AU26" s="7">
        <f>IF(ISNUMBER(SEARCH("High",AU1)), $AU$3/0.1, IF(ISNUMBER(SEARCH("Low",AU1)), $AU$3/0.025, "No"))</f>
        <v>0</v>
      </c>
      <c r="AV26" s="7">
        <f>IF(ISNUMBER(SEARCH("High",AV1)), $AV$3/0.1, IF(ISNUMBER(SEARCH("Low",AV1)), $AV$3/0.025, "No"))</f>
        <v>1.0771999999999999</v>
      </c>
    </row>
    <row r="27" spans="1:48" x14ac:dyDescent="0.2">
      <c r="A27" t="str">
        <f>$A$4</f>
        <v>3.13</v>
      </c>
      <c r="B27" t="str">
        <f>$B$4</f>
        <v>CBDA</v>
      </c>
      <c r="C27" t="str">
        <f>$C$4</f>
        <v>Compou
nd
Amount</v>
      </c>
      <c r="D27" s="7">
        <f>IF(ISNUMBER(SEARCH("High",D1)), $D$4/0.1, IF(ISNUMBER(SEARCH("Low",D1)), $D$4/0.025, "No"))</f>
        <v>0.98580000000000001</v>
      </c>
      <c r="E27" s="7">
        <f>IF(ISNUMBER(SEARCH("High",E1)), $E$4/0.1, IF(ISNUMBER(SEARCH("Low",E1)), $E$4/0.025, "No"))</f>
        <v>1.1092</v>
      </c>
      <c r="F27" s="7" t="str">
        <f>IF(ISNUMBER(SEARCH("High",F1)), $F$4/0.1, IF(ISNUMBER(SEARCH("Low",F1)), $F$4/0.025, "No"))</f>
        <v>No</v>
      </c>
      <c r="G27" s="7" t="str">
        <f>IF(ISNUMBER(SEARCH("High",G1)), $G$4/0.1, IF(ISNUMBER(SEARCH("Low",G1)), $G$4/0.025, "No"))</f>
        <v>No</v>
      </c>
      <c r="H27" s="7" t="str">
        <f>IF(ISNUMBER(SEARCH("High",H1)), $H$4/0.1, IF(ISNUMBER(SEARCH("Low",H1)), $H$4/0.025, "No"))</f>
        <v>No</v>
      </c>
      <c r="I27" s="7" t="str">
        <f>IF(ISNUMBER(SEARCH("High",I1)), $I$4/0.1, IF(ISNUMBER(SEARCH("Low",I1)), $I$4/0.025, "No"))</f>
        <v>No</v>
      </c>
      <c r="J27" s="7" t="str">
        <f>IF(ISNUMBER(SEARCH("High",J1)), $J$4/0.1, IF(ISNUMBER(SEARCH("Low",J1)), $J$4/0.025, "No"))</f>
        <v>No</v>
      </c>
      <c r="K27" s="7" t="str">
        <f>IF(ISNUMBER(SEARCH("High",K1)), $K$4/0.1, IF(ISNUMBER(SEARCH("Low",K1)), $K$4/0.025, "No"))</f>
        <v>No</v>
      </c>
      <c r="L27" s="7" t="str">
        <f>IF(ISNUMBER(SEARCH("High",L1)), $L$4/0.1, IF(ISNUMBER(SEARCH("Low",L1)), $L$4/0.025, "No"))</f>
        <v>No</v>
      </c>
      <c r="M27" s="7" t="str">
        <f>IF(ISNUMBER(SEARCH("High",M1)), $M$4/0.1, IF(ISNUMBER(SEARCH("Low",M1)), $M$4/0.025, "No"))</f>
        <v>No</v>
      </c>
      <c r="N27" s="7" t="str">
        <f>IF(ISNUMBER(SEARCH("High",N1)), $N$4/0.1, IF(ISNUMBER(SEARCH("Low",N1)), $N$4/0.025, "No"))</f>
        <v>No</v>
      </c>
      <c r="O27" s="7" t="str">
        <f>IF(ISNUMBER(SEARCH("High",O1)), $O$4/0.1, IF(ISNUMBER(SEARCH("Low",O1)), $O$4/0.025, "No"))</f>
        <v>No</v>
      </c>
      <c r="P27" s="7" t="str">
        <f>IF(ISNUMBER(SEARCH("High",P1)), $P$4/0.1, IF(ISNUMBER(SEARCH("Low",P1)), $P$4/0.025, "No"))</f>
        <v>No</v>
      </c>
      <c r="Q27" s="7" t="str">
        <f>IF(ISNUMBER(SEARCH("High",Q1)), $Q$4/0.1, IF(ISNUMBER(SEARCH("Low",Q1)), $Q$4/0.025, "No"))</f>
        <v>No</v>
      </c>
      <c r="R27" s="7">
        <f>IF(ISNUMBER(SEARCH("High",R1)), $R$4/0.1, IF(ISNUMBER(SEARCH("Low",R1)), $R$4/0.025, "No"))</f>
        <v>1.0855999999999999</v>
      </c>
      <c r="S27" s="7" t="str">
        <f>IF(ISNUMBER(SEARCH("High",S1)), $S$4/0.1, IF(ISNUMBER(SEARCH("Low",S1)), $S$4/0.025, "No"))</f>
        <v>No</v>
      </c>
      <c r="T27" s="7" t="str">
        <f>IF(ISNUMBER(SEARCH("High",T1)), $T$4/0.1, IF(ISNUMBER(SEARCH("Low",T1)), $T$4/0.025, "No"))</f>
        <v>No</v>
      </c>
      <c r="U27" s="7" t="str">
        <f>IF(ISNUMBER(SEARCH("High",U1)), $U$4/0.1, IF(ISNUMBER(SEARCH("Low",U1)), $U$4/0.025, "No"))</f>
        <v>No</v>
      </c>
      <c r="V27" s="7" t="str">
        <f>IF(ISNUMBER(SEARCH("High",V1)), $V$4/0.1, IF(ISNUMBER(SEARCH("Low",V1)), $V$4/0.025, "No"))</f>
        <v>No</v>
      </c>
      <c r="W27" s="7" t="str">
        <f>IF(ISNUMBER(SEARCH("High",W1)), $W$4/0.1, IF(ISNUMBER(SEARCH("Low",W1)), $W$4/0.025, "No"))</f>
        <v>No</v>
      </c>
      <c r="X27" s="7" t="str">
        <f>IF(ISNUMBER(SEARCH("High",X1)), $X$4/0.1, IF(ISNUMBER(SEARCH("Low",X1)), $X$4/0.025, "No"))</f>
        <v>No</v>
      </c>
      <c r="Y27" s="7" t="str">
        <f>IF(ISNUMBER(SEARCH("High",Y1)), $Y$4/0.1, IF(ISNUMBER(SEARCH("Low",Y1)), $Y$4/0.025, "No"))</f>
        <v>No</v>
      </c>
      <c r="Z27" s="7" t="str">
        <f>IF(ISNUMBER(SEARCH("High",Z1)), $Z$4/0.1, IF(ISNUMBER(SEARCH("Low",Z1)), $Z$4/0.025, "No"))</f>
        <v>No</v>
      </c>
      <c r="AA27" s="7">
        <f>IF(ISNUMBER(SEARCH("High",AA1)), $AA$4/0.1, IF(ISNUMBER(SEARCH("Low",AA1)), $AA$4/0.025, "No"))</f>
        <v>0.96640000000000004</v>
      </c>
      <c r="AB27" s="7">
        <f>IF(ISNUMBER(SEARCH("High",AB1)), $AB$4/0.1, IF(ISNUMBER(SEARCH("Low",AB1)), $AB$4/0.025, "No"))</f>
        <v>1.0664</v>
      </c>
      <c r="AC27" s="7" t="str">
        <f>IF(ISNUMBER(SEARCH("High",AC1)), $AC$4/0.1, IF(ISNUMBER(SEARCH("Low",AC1)), $AC$4/0.025, "No"))</f>
        <v>No</v>
      </c>
      <c r="AD27" s="7" t="str">
        <f>IF(ISNUMBER(SEARCH("High",AD1)), $AD$4/0.1, IF(ISNUMBER(SEARCH("Low",AD1)), $AD$4/0.025, "No"))</f>
        <v>No</v>
      </c>
      <c r="AE27" s="7" t="str">
        <f>IF(ISNUMBER(SEARCH("High",AE1)), $AE$4/0.1, IF(ISNUMBER(SEARCH("Low",AE1)), $AE$4/0.025, "No"))</f>
        <v>No</v>
      </c>
      <c r="AF27" s="7" t="str">
        <f>IF(ISNUMBER(SEARCH("High",AF1)), $AF$4/0.1, IF(ISNUMBER(SEARCH("Low",AF1)), $AF$4/0.025, "No"))</f>
        <v>No</v>
      </c>
      <c r="AG27" s="7" t="str">
        <f>IF(ISNUMBER(SEARCH("High",AG1)), $AG$4/0.1, IF(ISNUMBER(SEARCH("Low",AG1)), $AG$4/0.025, "No"))</f>
        <v>No</v>
      </c>
      <c r="AH27" s="7" t="str">
        <f>IF(ISNUMBER(SEARCH("High",AH1)), $AH$4/0.1, IF(ISNUMBER(SEARCH("Low",AH1)), $AH$4/0.025, "No"))</f>
        <v>No</v>
      </c>
      <c r="AI27" s="7" t="str">
        <f>IF(ISNUMBER(SEARCH("High",AI1)), $AI$4/0.1, IF(ISNUMBER(SEARCH("Low",AI1)), $AI$4/0.025, "No"))</f>
        <v>No</v>
      </c>
      <c r="AJ27" s="7" t="str">
        <f>IF(ISNUMBER(SEARCH("High",AJ1)), $AJ$4/0.1, IF(ISNUMBER(SEARCH("Low",AJ1)), $AJ$4/0.025, "No"))</f>
        <v>No</v>
      </c>
      <c r="AK27" s="7" t="str">
        <f>IF(ISNUMBER(SEARCH("High",AK1)), $AK$4/0.1, IF(ISNUMBER(SEARCH("Low",AK1)), $AK$4/0.025, "No"))</f>
        <v>No</v>
      </c>
      <c r="AL27" s="7" t="str">
        <f>IF(ISNUMBER(SEARCH("High",AL1)), $AL$4/0.1, IF(ISNUMBER(SEARCH("Low",AL1)), $AL$4/0.025, "No"))</f>
        <v>No</v>
      </c>
      <c r="AM27" s="7">
        <f>IF(ISNUMBER(SEARCH("High",AM1)), $AM$4/0.1, IF(ISNUMBER(SEARCH("Low",AM1)), $AM$4/0.025, "No"))</f>
        <v>0.94839999999999991</v>
      </c>
      <c r="AN27" s="7">
        <f>IF(ISNUMBER(SEARCH("High",AN1)), $AN$4/0.1, IF(ISNUMBER(SEARCH("Low",AN1)), $AN$4/0.025, "No"))</f>
        <v>1.0608</v>
      </c>
      <c r="AO27" s="7" t="str">
        <f>IF(ISNUMBER(SEARCH("High",AO1)), $AO$4/0.1, IF(ISNUMBER(SEARCH("Low",AO1)), $AO$4/0.025, "No"))</f>
        <v>No</v>
      </c>
      <c r="AP27" s="7" t="str">
        <f>IF(ISNUMBER(SEARCH("High",AP1)), $AP$4/0.1, IF(ISNUMBER(SEARCH("Low",AP1)), $AP$4/0.025, "No"))</f>
        <v>No</v>
      </c>
      <c r="AQ27" s="7" t="str">
        <f>IF(ISNUMBER(SEARCH("High",AQ1)), $AQ$4/0.1, IF(ISNUMBER(SEARCH("Low",AQ1)), $AQ$4/0.025, "No"))</f>
        <v>No</v>
      </c>
      <c r="AR27" s="7" t="str">
        <f>IF(ISNUMBER(SEARCH("High",AR1)), $AR$4/0.1, IF(ISNUMBER(SEARCH("Low",AR1)), $AR$4/0.025, "No"))</f>
        <v>No</v>
      </c>
      <c r="AS27" s="7" t="str">
        <f>IF(ISNUMBER(SEARCH("High",AS1)), $AS$4/0.1, IF(ISNUMBER(SEARCH("Low",AS1)), $AS$4/0.025, "No"))</f>
        <v>No</v>
      </c>
      <c r="AT27" s="7" t="str">
        <f>IF(ISNUMBER(SEARCH("High",AT1)), $AT$4/0.1, IF(ISNUMBER(SEARCH("Low",AT1)), $AT$4/0.025, "No"))</f>
        <v>No</v>
      </c>
      <c r="AU27" s="7">
        <f>IF(ISNUMBER(SEARCH("High",AU1)), $AU$4/0.1, IF(ISNUMBER(SEARCH("Low",AU1)), $AU$4/0.025, "No"))</f>
        <v>0.94509999999999994</v>
      </c>
      <c r="AV27" s="7">
        <f>IF(ISNUMBER(SEARCH("High",AV1)), $AV$4/0.1, IF(ISNUMBER(SEARCH("Low",AV1)), $AV$4/0.025, "No"))</f>
        <v>1.0591999999999999</v>
      </c>
    </row>
    <row r="28" spans="1:48" x14ac:dyDescent="0.2">
      <c r="A28" t="str">
        <f>$A$5</f>
        <v>3.32</v>
      </c>
      <c r="B28" t="str">
        <f>$B$5</f>
        <v>CBGA</v>
      </c>
      <c r="C28" t="str">
        <f>$C$5</f>
        <v>Compou
nd
Amount</v>
      </c>
      <c r="D28" s="7">
        <f>IF(ISNUMBER(SEARCH("High",D1)), $D$5/0.1, IF(ISNUMBER(SEARCH("Low",D1)), $D$5/0.025, "No"))</f>
        <v>0</v>
      </c>
      <c r="E28" s="7">
        <f>IF(ISNUMBER(SEARCH("High",E1)), $E$5/0.1, IF(ISNUMBER(SEARCH("Low",E1)), $E$5/0.025, "No"))</f>
        <v>1.1192</v>
      </c>
      <c r="F28" s="7" t="str">
        <f>IF(ISNUMBER(SEARCH("High",F1)), $F$5/0.1, IF(ISNUMBER(SEARCH("Low",F1)), $F$5/0.025, "No"))</f>
        <v>No</v>
      </c>
      <c r="G28" s="7" t="str">
        <f>IF(ISNUMBER(SEARCH("High",G1)), $G$5/0.1, IF(ISNUMBER(SEARCH("Low",G1)), $G$5/0.025, "No"))</f>
        <v>No</v>
      </c>
      <c r="H28" s="7" t="str">
        <f>IF(ISNUMBER(SEARCH("High",H1)), $H$5/0.1, IF(ISNUMBER(SEARCH("Low",H1)), $H$5/0.025, "No"))</f>
        <v>No</v>
      </c>
      <c r="I28" s="7" t="str">
        <f>IF(ISNUMBER(SEARCH("High",I1)), $I$5/0.1, IF(ISNUMBER(SEARCH("Low",I1)), $I$5/0.025, "No"))</f>
        <v>No</v>
      </c>
      <c r="J28" s="7" t="str">
        <f>IF(ISNUMBER(SEARCH("High",J1)), $J$5/0.1, IF(ISNUMBER(SEARCH("Low",J1)), $J$5/0.025, "No"))</f>
        <v>No</v>
      </c>
      <c r="K28" s="7" t="str">
        <f>IF(ISNUMBER(SEARCH("High",K1)), $K$5/0.1, IF(ISNUMBER(SEARCH("Low",K1)), $K$5/0.025, "No"))</f>
        <v>No</v>
      </c>
      <c r="L28" s="7" t="str">
        <f>IF(ISNUMBER(SEARCH("High",L1)), $L$5/0.1, IF(ISNUMBER(SEARCH("Low",L1)), $L$5/0.025, "No"))</f>
        <v>No</v>
      </c>
      <c r="M28" s="7" t="str">
        <f>IF(ISNUMBER(SEARCH("High",M1)), $M$5/0.1, IF(ISNUMBER(SEARCH("Low",M1)), $M$5/0.025, "No"))</f>
        <v>No</v>
      </c>
      <c r="N28" s="7" t="str">
        <f>IF(ISNUMBER(SEARCH("High",N1)), $N$5/0.1, IF(ISNUMBER(SEARCH("Low",N1)), $N$5/0.025, "No"))</f>
        <v>No</v>
      </c>
      <c r="O28" s="7" t="str">
        <f>IF(ISNUMBER(SEARCH("High",O1)), $O$5/0.1, IF(ISNUMBER(SEARCH("Low",O1)), $O$5/0.025, "No"))</f>
        <v>No</v>
      </c>
      <c r="P28" s="7" t="str">
        <f>IF(ISNUMBER(SEARCH("High",P1)), $P$5/0.1, IF(ISNUMBER(SEARCH("Low",P1)), $P$5/0.025, "No"))</f>
        <v>No</v>
      </c>
      <c r="Q28" s="7" t="str">
        <f>IF(ISNUMBER(SEARCH("High",Q1)), $Q$5/0.1, IF(ISNUMBER(SEARCH("Low",Q1)), $Q$5/0.025, "No"))</f>
        <v>No</v>
      </c>
      <c r="R28" s="7">
        <f>IF(ISNUMBER(SEARCH("High",R1)), $R$5/0.1, IF(ISNUMBER(SEARCH("Low",R1)), $R$5/0.025, "No"))</f>
        <v>1.0924</v>
      </c>
      <c r="S28" s="7" t="str">
        <f>IF(ISNUMBER(SEARCH("High",S1)), $S$5/0.1, IF(ISNUMBER(SEARCH("Low",S1)), $S$5/0.025, "No"))</f>
        <v>No</v>
      </c>
      <c r="T28" s="7" t="str">
        <f>IF(ISNUMBER(SEARCH("High",T1)), $T$5/0.1, IF(ISNUMBER(SEARCH("Low",T1)), $T$5/0.025, "No"))</f>
        <v>No</v>
      </c>
      <c r="U28" s="7" t="str">
        <f>IF(ISNUMBER(SEARCH("High",U1)), $U$5/0.1, IF(ISNUMBER(SEARCH("Low",U1)), $U$5/0.025, "No"))</f>
        <v>No</v>
      </c>
      <c r="V28" s="7" t="str">
        <f>IF(ISNUMBER(SEARCH("High",V1)), $V$5/0.1, IF(ISNUMBER(SEARCH("Low",V1)), $V$5/0.025, "No"))</f>
        <v>No</v>
      </c>
      <c r="W28" s="7" t="str">
        <f>IF(ISNUMBER(SEARCH("High",W1)), $W$5/0.1, IF(ISNUMBER(SEARCH("Low",W1)), $W$5/0.025, "No"))</f>
        <v>No</v>
      </c>
      <c r="X28" s="7" t="str">
        <f>IF(ISNUMBER(SEARCH("High",X1)), $X$5/0.1, IF(ISNUMBER(SEARCH("Low",X1)), $X$5/0.025, "No"))</f>
        <v>No</v>
      </c>
      <c r="Y28" s="7" t="str">
        <f>IF(ISNUMBER(SEARCH("High",Y1)), $Y$5/0.1, IF(ISNUMBER(SEARCH("Low",Y1)), $Y$5/0.025, "No"))</f>
        <v>No</v>
      </c>
      <c r="Z28" s="7" t="str">
        <f>IF(ISNUMBER(SEARCH("High",Z1)), $Z$5/0.1, IF(ISNUMBER(SEARCH("Low",Z1)), $Z$5/0.025, "No"))</f>
        <v>No</v>
      </c>
      <c r="AA28" s="7">
        <f>IF(ISNUMBER(SEARCH("High",AA1)), $AA$5/0.1, IF(ISNUMBER(SEARCH("Low",AA1)), $AA$5/0.025, "No"))</f>
        <v>0</v>
      </c>
      <c r="AB28" s="7">
        <f>IF(ISNUMBER(SEARCH("High",AB1)), $AB$5/0.1, IF(ISNUMBER(SEARCH("Low",AB1)), $AB$5/0.025, "No"))</f>
        <v>1.0728</v>
      </c>
      <c r="AC28" s="7" t="str">
        <f>IF(ISNUMBER(SEARCH("High",AC1)), $AC$5/0.1, IF(ISNUMBER(SEARCH("Low",AC1)), $AC$5/0.025, "No"))</f>
        <v>No</v>
      </c>
      <c r="AD28" s="7" t="str">
        <f>IF(ISNUMBER(SEARCH("High",AD1)), $AD$5/0.1, IF(ISNUMBER(SEARCH("Low",AD1)), $AD$5/0.025, "No"))</f>
        <v>No</v>
      </c>
      <c r="AE28" s="7" t="str">
        <f>IF(ISNUMBER(SEARCH("High",AE1)), $AE$5/0.1, IF(ISNUMBER(SEARCH("Low",AE1)), $AE$5/0.025, "No"))</f>
        <v>No</v>
      </c>
      <c r="AF28" s="7" t="str">
        <f>IF(ISNUMBER(SEARCH("High",AF1)), $AF$5/0.1, IF(ISNUMBER(SEARCH("Low",AF1)), $AF$5/0.025, "No"))</f>
        <v>No</v>
      </c>
      <c r="AG28" s="7" t="str">
        <f>IF(ISNUMBER(SEARCH("High",AG1)), $AG$5/0.1, IF(ISNUMBER(SEARCH("Low",AG1)), $AG$5/0.025, "No"))</f>
        <v>No</v>
      </c>
      <c r="AH28" s="7" t="str">
        <f>IF(ISNUMBER(SEARCH("High",AH1)), $AH$5/0.1, IF(ISNUMBER(SEARCH("Low",AH1)), $AH$5/0.025, "No"))</f>
        <v>No</v>
      </c>
      <c r="AI28" s="7" t="str">
        <f>IF(ISNUMBER(SEARCH("High",AI1)), $AI$5/0.1, IF(ISNUMBER(SEARCH("Low",AI1)), $AI$5/0.025, "No"))</f>
        <v>No</v>
      </c>
      <c r="AJ28" s="7" t="str">
        <f>IF(ISNUMBER(SEARCH("High",AJ1)), $AJ$5/0.1, IF(ISNUMBER(SEARCH("Low",AJ1)), $AJ$5/0.025, "No"))</f>
        <v>No</v>
      </c>
      <c r="AK28" s="7" t="str">
        <f>IF(ISNUMBER(SEARCH("High",AK1)), $AK$5/0.1, IF(ISNUMBER(SEARCH("Low",AK1)), $AK$5/0.025, "No"))</f>
        <v>No</v>
      </c>
      <c r="AL28" s="7" t="str">
        <f>IF(ISNUMBER(SEARCH("High",AL1)), $AL$5/0.1, IF(ISNUMBER(SEARCH("Low",AL1)), $AL$5/0.025, "No"))</f>
        <v>No</v>
      </c>
      <c r="AM28" s="7">
        <f>IF(ISNUMBER(SEARCH("High",AM1)), $AM$5/0.1, IF(ISNUMBER(SEARCH("Low",AM1)), $AM$5/0.025, "No"))</f>
        <v>0</v>
      </c>
      <c r="AN28" s="7">
        <f>IF(ISNUMBER(SEARCH("High",AN1)), $AN$5/0.1, IF(ISNUMBER(SEARCH("Low",AN1)), $AN$5/0.025, "No"))</f>
        <v>1.0680000000000001</v>
      </c>
      <c r="AO28" s="7" t="str">
        <f>IF(ISNUMBER(SEARCH("High",AO1)), $AO$5/0.1, IF(ISNUMBER(SEARCH("Low",AO1)), $AO$5/0.025, "No"))</f>
        <v>No</v>
      </c>
      <c r="AP28" s="7" t="str">
        <f>IF(ISNUMBER(SEARCH("High",AP1)), $AP$5/0.1, IF(ISNUMBER(SEARCH("Low",AP1)), $AP$5/0.025, "No"))</f>
        <v>No</v>
      </c>
      <c r="AQ28" s="7" t="str">
        <f>IF(ISNUMBER(SEARCH("High",AQ1)), $AQ$5/0.1, IF(ISNUMBER(SEARCH("Low",AQ1)), $AQ$5/0.025, "No"))</f>
        <v>No</v>
      </c>
      <c r="AR28" s="7" t="str">
        <f>IF(ISNUMBER(SEARCH("High",AR1)), $AR$5/0.1, IF(ISNUMBER(SEARCH("Low",AR1)), $AR$5/0.025, "No"))</f>
        <v>No</v>
      </c>
      <c r="AS28" s="7" t="str">
        <f>IF(ISNUMBER(SEARCH("High",AS1)), $AS$5/0.1, IF(ISNUMBER(SEARCH("Low",AS1)), $AS$5/0.025, "No"))</f>
        <v>No</v>
      </c>
      <c r="AT28" s="7" t="str">
        <f>IF(ISNUMBER(SEARCH("High",AT1)), $AT$5/0.1, IF(ISNUMBER(SEARCH("Low",AT1)), $AT$5/0.025, "No"))</f>
        <v>No</v>
      </c>
      <c r="AU28" s="7">
        <f>IF(ISNUMBER(SEARCH("High",AU1)), $AU$5/0.1, IF(ISNUMBER(SEARCH("Low",AU1)), $AU$5/0.025, "No"))</f>
        <v>0</v>
      </c>
      <c r="AV28" s="7">
        <f>IF(ISNUMBER(SEARCH("High",AV1)), $AV$5/0.1, IF(ISNUMBER(SEARCH("Low",AV1)), $AV$5/0.025, "No"))</f>
        <v>1.0664</v>
      </c>
    </row>
    <row r="29" spans="1:48" x14ac:dyDescent="0.2">
      <c r="A29" t="str">
        <f>$A$6</f>
        <v>3.69</v>
      </c>
      <c r="B29" t="str">
        <f>$B$6</f>
        <v>CBG</v>
      </c>
      <c r="C29" t="str">
        <f>$C$6</f>
        <v>Compou
nd
Amount</v>
      </c>
      <c r="D29" s="7">
        <f>IF(ISNUMBER(SEARCH("High",D1)), $D$6/0.1, IF(ISNUMBER(SEARCH("Low",D1)), $D$6/0.025, "No"))</f>
        <v>0</v>
      </c>
      <c r="E29" s="7">
        <f>IF(ISNUMBER(SEARCH("High",E1)), $E$6/0.1, IF(ISNUMBER(SEARCH("Low",E1)), $E$6/0.025, "No"))</f>
        <v>1.1020000000000001</v>
      </c>
      <c r="F29" s="7" t="str">
        <f>IF(ISNUMBER(SEARCH("High",F1)), $F$6/0.1, IF(ISNUMBER(SEARCH("Low",F1)), $F$6/0.025, "No"))</f>
        <v>No</v>
      </c>
      <c r="G29" s="7" t="str">
        <f>IF(ISNUMBER(SEARCH("High",G1)), $G$6/0.1, IF(ISNUMBER(SEARCH("Low",G1)), $G$6/0.025, "No"))</f>
        <v>No</v>
      </c>
      <c r="H29" s="7" t="str">
        <f>IF(ISNUMBER(SEARCH("High",H1)), $H$6/0.1, IF(ISNUMBER(SEARCH("Low",H1)), $H$6/0.025, "No"))</f>
        <v>No</v>
      </c>
      <c r="I29" s="7" t="str">
        <f>IF(ISNUMBER(SEARCH("High",I1)), $I$6/0.1, IF(ISNUMBER(SEARCH("Low",I1)), $I$6/0.025, "No"))</f>
        <v>No</v>
      </c>
      <c r="J29" s="7" t="str">
        <f>IF(ISNUMBER(SEARCH("High",J1)), $J$6/0.1, IF(ISNUMBER(SEARCH("Low",J1)), $J$6/0.025, "No"))</f>
        <v>No</v>
      </c>
      <c r="K29" s="7" t="str">
        <f>IF(ISNUMBER(SEARCH("High",K1)), $K$6/0.1, IF(ISNUMBER(SEARCH("Low",K1)), $K$6/0.025, "No"))</f>
        <v>No</v>
      </c>
      <c r="L29" s="7" t="str">
        <f>IF(ISNUMBER(SEARCH("High",L1)), $L$6/0.1, IF(ISNUMBER(SEARCH("Low",L1)), $L$6/0.025, "No"))</f>
        <v>No</v>
      </c>
      <c r="M29" s="7" t="str">
        <f>IF(ISNUMBER(SEARCH("High",M1)), $M$6/0.1, IF(ISNUMBER(SEARCH("Low",M1)), $M$6/0.025, "No"))</f>
        <v>No</v>
      </c>
      <c r="N29" s="7" t="str">
        <f>IF(ISNUMBER(SEARCH("High",N1)), $N$6/0.1, IF(ISNUMBER(SEARCH("Low",N1)), $N$6/0.025, "No"))</f>
        <v>No</v>
      </c>
      <c r="O29" s="7" t="str">
        <f>IF(ISNUMBER(SEARCH("High",O1)), $O$6/0.1, IF(ISNUMBER(SEARCH("Low",O1)), $O$6/0.025, "No"))</f>
        <v>No</v>
      </c>
      <c r="P29" s="7" t="str">
        <f>IF(ISNUMBER(SEARCH("High",P1)), $P$6/0.1, IF(ISNUMBER(SEARCH("Low",P1)), $P$6/0.025, "No"))</f>
        <v>No</v>
      </c>
      <c r="Q29" s="7" t="str">
        <f>IF(ISNUMBER(SEARCH("High",Q1)), $Q$6/0.1, IF(ISNUMBER(SEARCH("Low",Q1)), $Q$6/0.025, "No"))</f>
        <v>No</v>
      </c>
      <c r="R29" s="7">
        <f>IF(ISNUMBER(SEARCH("High",R1)), $R$6/0.1, IF(ISNUMBER(SEARCH("Low",R1)), $R$6/0.025, "No"))</f>
        <v>1.0831999999999999</v>
      </c>
      <c r="S29" s="7" t="str">
        <f>IF(ISNUMBER(SEARCH("High",S1)), $S$6/0.1, IF(ISNUMBER(SEARCH("Low",S1)), $S$6/0.025, "No"))</f>
        <v>No</v>
      </c>
      <c r="T29" s="7" t="str">
        <f>IF(ISNUMBER(SEARCH("High",T1)), $T$6/0.1, IF(ISNUMBER(SEARCH("Low",T1)), $T$6/0.025, "No"))</f>
        <v>No</v>
      </c>
      <c r="U29" s="7" t="str">
        <f>IF(ISNUMBER(SEARCH("High",U1)), $U$6/0.1, IF(ISNUMBER(SEARCH("Low",U1)), $U$6/0.025, "No"))</f>
        <v>No</v>
      </c>
      <c r="V29" s="7" t="str">
        <f>IF(ISNUMBER(SEARCH("High",V1)), $V$6/0.1, IF(ISNUMBER(SEARCH("Low",V1)), $V$6/0.025, "No"))</f>
        <v>No</v>
      </c>
      <c r="W29" s="7" t="str">
        <f>IF(ISNUMBER(SEARCH("High",W1)), $W$6/0.1, IF(ISNUMBER(SEARCH("Low",W1)), $W$6/0.025, "No"))</f>
        <v>No</v>
      </c>
      <c r="X29" s="7" t="str">
        <f>IF(ISNUMBER(SEARCH("High",X1)), $X$6/0.1, IF(ISNUMBER(SEARCH("Low",X1)), $X$6/0.025, "No"))</f>
        <v>No</v>
      </c>
      <c r="Y29" s="7" t="str">
        <f>IF(ISNUMBER(SEARCH("High",Y1)), $Y$6/0.1, IF(ISNUMBER(SEARCH("Low",Y1)), $Y$6/0.025, "No"))</f>
        <v>No</v>
      </c>
      <c r="Z29" s="7" t="str">
        <f>IF(ISNUMBER(SEARCH("High",Z1)), $Z$6/0.1, IF(ISNUMBER(SEARCH("Low",Z1)), $Z$6/0.025, "No"))</f>
        <v>No</v>
      </c>
      <c r="AA29" s="7">
        <f>IF(ISNUMBER(SEARCH("High",AA1)), $AA$6/0.1, IF(ISNUMBER(SEARCH("Low",AA1)), $AA$6/0.025, "No"))</f>
        <v>0</v>
      </c>
      <c r="AB29" s="7">
        <f>IF(ISNUMBER(SEARCH("High",AB1)), $AB$6/0.1, IF(ISNUMBER(SEARCH("Low",AB1)), $AB$6/0.025, "No"))</f>
        <v>1.0699999999999998</v>
      </c>
      <c r="AC29" s="7" t="str">
        <f>IF(ISNUMBER(SEARCH("High",AC1)), $AC$6/0.1, IF(ISNUMBER(SEARCH("Low",AC1)), $AC$6/0.025, "No"))</f>
        <v>No</v>
      </c>
      <c r="AD29" s="7" t="str">
        <f>IF(ISNUMBER(SEARCH("High",AD1)), $AD$6/0.1, IF(ISNUMBER(SEARCH("Low",AD1)), $AD$6/0.025, "No"))</f>
        <v>No</v>
      </c>
      <c r="AE29" s="7" t="str">
        <f>IF(ISNUMBER(SEARCH("High",AE1)), $AE$6/0.1, IF(ISNUMBER(SEARCH("Low",AE1)), $AE$6/0.025, "No"))</f>
        <v>No</v>
      </c>
      <c r="AF29" s="7" t="str">
        <f>IF(ISNUMBER(SEARCH("High",AF1)), $AF$6/0.1, IF(ISNUMBER(SEARCH("Low",AF1)), $AF$6/0.025, "No"))</f>
        <v>No</v>
      </c>
      <c r="AG29" s="7" t="str">
        <f>IF(ISNUMBER(SEARCH("High",AG1)), $AG$6/0.1, IF(ISNUMBER(SEARCH("Low",AG1)), $AG$6/0.025, "No"))</f>
        <v>No</v>
      </c>
      <c r="AH29" s="7" t="str">
        <f>IF(ISNUMBER(SEARCH("High",AH1)), $AH$6/0.1, IF(ISNUMBER(SEARCH("Low",AH1)), $AH$6/0.025, "No"))</f>
        <v>No</v>
      </c>
      <c r="AI29" s="7" t="str">
        <f>IF(ISNUMBER(SEARCH("High",AI1)), $AI$6/0.1, IF(ISNUMBER(SEARCH("Low",AI1)), $AI$6/0.025, "No"))</f>
        <v>No</v>
      </c>
      <c r="AJ29" s="7" t="str">
        <f>IF(ISNUMBER(SEARCH("High",AJ1)), $AJ$6/0.1, IF(ISNUMBER(SEARCH("Low",AJ1)), $AJ$6/0.025, "No"))</f>
        <v>No</v>
      </c>
      <c r="AK29" s="7" t="str">
        <f>IF(ISNUMBER(SEARCH("High",AK1)), $AK$6/0.1, IF(ISNUMBER(SEARCH("Low",AK1)), $AK$6/0.025, "No"))</f>
        <v>No</v>
      </c>
      <c r="AL29" s="7" t="str">
        <f>IF(ISNUMBER(SEARCH("High",AL1)), $AL$6/0.1, IF(ISNUMBER(SEARCH("Low",AL1)), $AL$6/0.025, "No"))</f>
        <v>No</v>
      </c>
      <c r="AM29" s="7">
        <f>IF(ISNUMBER(SEARCH("High",AM1)), $AM$6/0.1, IF(ISNUMBER(SEARCH("Low",AM1)), $AM$6/0.025, "No"))</f>
        <v>0</v>
      </c>
      <c r="AN29" s="7">
        <f>IF(ISNUMBER(SEARCH("High",AN1)), $AN$6/0.1, IF(ISNUMBER(SEARCH("Low",AN1)), $AN$6/0.025, "No"))</f>
        <v>1.0655999999999999</v>
      </c>
      <c r="AO29" s="7" t="str">
        <f>IF(ISNUMBER(SEARCH("High",AO1)), $AO$6/0.1, IF(ISNUMBER(SEARCH("Low",AO1)), $AO$6/0.025, "No"))</f>
        <v>No</v>
      </c>
      <c r="AP29" s="7" t="str">
        <f>IF(ISNUMBER(SEARCH("High",AP1)), $AP$6/0.1, IF(ISNUMBER(SEARCH("Low",AP1)), $AP$6/0.025, "No"))</f>
        <v>No</v>
      </c>
      <c r="AQ29" s="7" t="str">
        <f>IF(ISNUMBER(SEARCH("High",AQ1)), $AQ$6/0.1, IF(ISNUMBER(SEARCH("Low",AQ1)), $AQ$6/0.025, "No"))</f>
        <v>No</v>
      </c>
      <c r="AR29" s="7" t="str">
        <f>IF(ISNUMBER(SEARCH("High",AR1)), $AR$6/0.1, IF(ISNUMBER(SEARCH("Low",AR1)), $AR$6/0.025, "No"))</f>
        <v>No</v>
      </c>
      <c r="AS29" s="7" t="str">
        <f>IF(ISNUMBER(SEARCH("High",AS1)), $AS$6/0.1, IF(ISNUMBER(SEARCH("Low",AS1)), $AS$6/0.025, "No"))</f>
        <v>No</v>
      </c>
      <c r="AT29" s="7" t="str">
        <f>IF(ISNUMBER(SEARCH("High",AT1)), $AT$6/0.1, IF(ISNUMBER(SEARCH("Low",AT1)), $AT$6/0.025, "No"))</f>
        <v>No</v>
      </c>
      <c r="AU29" s="7">
        <f>IF(ISNUMBER(SEARCH("High",AU1)), $AU$6/0.1, IF(ISNUMBER(SEARCH("Low",AU1)), $AU$6/0.025, "No"))</f>
        <v>0</v>
      </c>
      <c r="AV29" s="7">
        <f>IF(ISNUMBER(SEARCH("High",AV1)), $AV$6/0.1, IF(ISNUMBER(SEARCH("Low",AV1)), $AV$6/0.025, "No"))</f>
        <v>1.0655999999999999</v>
      </c>
    </row>
    <row r="30" spans="1:48" x14ac:dyDescent="0.2">
      <c r="A30" t="str">
        <f>$A$7</f>
        <v>3.93</v>
      </c>
      <c r="B30" t="str">
        <f>$B$7</f>
        <v>CBD</v>
      </c>
      <c r="C30" t="str">
        <f>$C$7</f>
        <v>Compou
nd
Amount</v>
      </c>
      <c r="D30" s="7">
        <f>IF(ISNUMBER(SEARCH("High",D1)), $D$7/0.1, IF(ISNUMBER(SEARCH("Low",D1)), $D$7/0.025, "No"))</f>
        <v>1.0359999999999998</v>
      </c>
      <c r="E30" s="7">
        <f>IF(ISNUMBER(SEARCH("High",E1)), $E$7/0.1, IF(ISNUMBER(SEARCH("Low",E1)), $E$7/0.025, "No"))</f>
        <v>1.0875999999999999</v>
      </c>
      <c r="F30" s="7" t="str">
        <f>IF(ISNUMBER(SEARCH("High",F1)), $F$7/0.1, IF(ISNUMBER(SEARCH("Low",F1)), $F$7/0.025, "No"))</f>
        <v>No</v>
      </c>
      <c r="G30" s="7" t="str">
        <f>IF(ISNUMBER(SEARCH("High",G1)), $G$7/0.1, IF(ISNUMBER(SEARCH("Low",G1)), $G$7/0.025, "No"))</f>
        <v>No</v>
      </c>
      <c r="H30" s="7" t="str">
        <f>IF(ISNUMBER(SEARCH("High",H1)), $H$7/0.1, IF(ISNUMBER(SEARCH("Low",H1)), $H$7/0.025, "No"))</f>
        <v>No</v>
      </c>
      <c r="I30" s="7" t="str">
        <f>IF(ISNUMBER(SEARCH("High",I1)), $I$7/0.1, IF(ISNUMBER(SEARCH("Low",I1)), $I$7/0.025, "No"))</f>
        <v>No</v>
      </c>
      <c r="J30" s="7" t="str">
        <f>IF(ISNUMBER(SEARCH("High",J1)), $J$7/0.1, IF(ISNUMBER(SEARCH("Low",J1)), $J$7/0.025, "No"))</f>
        <v>No</v>
      </c>
      <c r="K30" s="7" t="str">
        <f>IF(ISNUMBER(SEARCH("High",K1)), $K$7/0.1, IF(ISNUMBER(SEARCH("Low",K1)), $K$7/0.025, "No"))</f>
        <v>No</v>
      </c>
      <c r="L30" s="7" t="str">
        <f>IF(ISNUMBER(SEARCH("High",L1)), $L$7/0.1, IF(ISNUMBER(SEARCH("Low",L1)), $L$7/0.025, "No"))</f>
        <v>No</v>
      </c>
      <c r="M30" s="7" t="str">
        <f>IF(ISNUMBER(SEARCH("High",M1)), $M$7/0.1, IF(ISNUMBER(SEARCH("Low",M1)), $M$7/0.025, "No"))</f>
        <v>No</v>
      </c>
      <c r="N30" s="7" t="str">
        <f>IF(ISNUMBER(SEARCH("High",N1)), $N$7/0.1, IF(ISNUMBER(SEARCH("Low",N1)), $N$7/0.025, "No"))</f>
        <v>No</v>
      </c>
      <c r="O30" s="7" t="str">
        <f>IF(ISNUMBER(SEARCH("High",O1)), $O$7/0.1, IF(ISNUMBER(SEARCH("Low",O1)), $O$7/0.025, "No"))</f>
        <v>No</v>
      </c>
      <c r="P30" s="7" t="str">
        <f>IF(ISNUMBER(SEARCH("High",P1)), $P$7/0.1, IF(ISNUMBER(SEARCH("Low",P1)), $P$7/0.025, "No"))</f>
        <v>No</v>
      </c>
      <c r="Q30" s="7" t="str">
        <f>IF(ISNUMBER(SEARCH("High",Q1)), $Q$7/0.1, IF(ISNUMBER(SEARCH("Low",Q1)), $Q$7/0.025, "No"))</f>
        <v>No</v>
      </c>
      <c r="R30" s="7">
        <f>IF(ISNUMBER(SEARCH("High",R1)), $R$7/0.1, IF(ISNUMBER(SEARCH("Low",R1)), $R$7/0.025, "No"))</f>
        <v>1.0748</v>
      </c>
      <c r="S30" s="7" t="str">
        <f>IF(ISNUMBER(SEARCH("High",S1)), $S$7/0.1, IF(ISNUMBER(SEARCH("Low",S1)), $S$7/0.025, "No"))</f>
        <v>No</v>
      </c>
      <c r="T30" s="7" t="str">
        <f>IF(ISNUMBER(SEARCH("High",T1)), $T$7/0.1, IF(ISNUMBER(SEARCH("Low",T1)), $T$7/0.025, "No"))</f>
        <v>No</v>
      </c>
      <c r="U30" s="7" t="str">
        <f>IF(ISNUMBER(SEARCH("High",U1)), $U$7/0.1, IF(ISNUMBER(SEARCH("Low",U1)), $U$7/0.025, "No"))</f>
        <v>No</v>
      </c>
      <c r="V30" s="7" t="str">
        <f>IF(ISNUMBER(SEARCH("High",V1)), $V$7/0.1, IF(ISNUMBER(SEARCH("Low",V1)), $V$7/0.025, "No"))</f>
        <v>No</v>
      </c>
      <c r="W30" s="7" t="str">
        <f>IF(ISNUMBER(SEARCH("High",W1)), $W$7/0.1, IF(ISNUMBER(SEARCH("Low",W1)), $W$7/0.025, "No"))</f>
        <v>No</v>
      </c>
      <c r="X30" s="7" t="str">
        <f>IF(ISNUMBER(SEARCH("High",X1)), $X$7/0.1, IF(ISNUMBER(SEARCH("Low",X1)), $X$7/0.025, "No"))</f>
        <v>No</v>
      </c>
      <c r="Y30" s="7" t="str">
        <f>IF(ISNUMBER(SEARCH("High",Y1)), $Y$7/0.1, IF(ISNUMBER(SEARCH("Low",Y1)), $Y$7/0.025, "No"))</f>
        <v>No</v>
      </c>
      <c r="Z30" s="7" t="str">
        <f>IF(ISNUMBER(SEARCH("High",Z1)), $Z$7/0.1, IF(ISNUMBER(SEARCH("Low",Z1)), $Z$7/0.025, "No"))</f>
        <v>No</v>
      </c>
      <c r="AA30" s="7">
        <f>IF(ISNUMBER(SEARCH("High",AA1)), $AA$7/0.1, IF(ISNUMBER(SEARCH("Low",AA1)), $AA$7/0.025, "No"))</f>
        <v>1.008</v>
      </c>
      <c r="AB30" s="7">
        <f>IF(ISNUMBER(SEARCH("High",AB1)), $AB$7/0.1, IF(ISNUMBER(SEARCH("Low",AB1)), $AB$7/0.025, "No"))</f>
        <v>1.0639999999999998</v>
      </c>
      <c r="AC30" s="7" t="str">
        <f>IF(ISNUMBER(SEARCH("High",AC1)), $AC$7/0.1, IF(ISNUMBER(SEARCH("Low",AC1)), $AC$7/0.025, "No"))</f>
        <v>No</v>
      </c>
      <c r="AD30" s="7" t="str">
        <f>IF(ISNUMBER(SEARCH("High",AD1)), $AD$7/0.1, IF(ISNUMBER(SEARCH("Low",AD1)), $AD$7/0.025, "No"))</f>
        <v>No</v>
      </c>
      <c r="AE30" s="7" t="str">
        <f>IF(ISNUMBER(SEARCH("High",AE1)), $AE$7/0.1, IF(ISNUMBER(SEARCH("Low",AE1)), $AE$7/0.025, "No"))</f>
        <v>No</v>
      </c>
      <c r="AF30" s="7" t="str">
        <f>IF(ISNUMBER(SEARCH("High",AF1)), $AF$7/0.1, IF(ISNUMBER(SEARCH("Low",AF1)), $AF$7/0.025, "No"))</f>
        <v>No</v>
      </c>
      <c r="AG30" s="7" t="str">
        <f>IF(ISNUMBER(SEARCH("High",AG1)), $AG$7/0.1, IF(ISNUMBER(SEARCH("Low",AG1)), $AG$7/0.025, "No"))</f>
        <v>No</v>
      </c>
      <c r="AH30" s="7" t="str">
        <f>IF(ISNUMBER(SEARCH("High",AH1)), $AH$7/0.1, IF(ISNUMBER(SEARCH("Low",AH1)), $AH$7/0.025, "No"))</f>
        <v>No</v>
      </c>
      <c r="AI30" s="7" t="str">
        <f>IF(ISNUMBER(SEARCH("High",AI1)), $AI$7/0.1, IF(ISNUMBER(SEARCH("Low",AI1)), $AI$7/0.025, "No"))</f>
        <v>No</v>
      </c>
      <c r="AJ30" s="7" t="str">
        <f>IF(ISNUMBER(SEARCH("High",AJ1)), $AJ$7/0.1, IF(ISNUMBER(SEARCH("Low",AJ1)), $AJ$7/0.025, "No"))</f>
        <v>No</v>
      </c>
      <c r="AK30" s="7" t="str">
        <f>IF(ISNUMBER(SEARCH("High",AK1)), $AK$7/0.1, IF(ISNUMBER(SEARCH("Low",AK1)), $AK$7/0.025, "No"))</f>
        <v>No</v>
      </c>
      <c r="AL30" s="7" t="str">
        <f>IF(ISNUMBER(SEARCH("High",AL1)), $AL$7/0.1, IF(ISNUMBER(SEARCH("Low",AL1)), $AL$7/0.025, "No"))</f>
        <v>No</v>
      </c>
      <c r="AM30" s="7">
        <f>IF(ISNUMBER(SEARCH("High",AM1)), $AM$7/0.1, IF(ISNUMBER(SEARCH("Low",AM1)), $AM$7/0.025, "No"))</f>
        <v>0.99</v>
      </c>
      <c r="AN30" s="7">
        <f>IF(ISNUMBER(SEARCH("High",AN1)), $AN$7/0.1, IF(ISNUMBER(SEARCH("Low",AN1)), $AN$7/0.025, "No"))</f>
        <v>1.0591999999999999</v>
      </c>
      <c r="AO30" s="7" t="str">
        <f>IF(ISNUMBER(SEARCH("High",AO1)), $AO$7/0.1, IF(ISNUMBER(SEARCH("Low",AO1)), $AO$7/0.025, "No"))</f>
        <v>No</v>
      </c>
      <c r="AP30" s="7" t="str">
        <f>IF(ISNUMBER(SEARCH("High",AP1)), $AP$7/0.1, IF(ISNUMBER(SEARCH("Low",AP1)), $AP$7/0.025, "No"))</f>
        <v>No</v>
      </c>
      <c r="AQ30" s="7" t="str">
        <f>IF(ISNUMBER(SEARCH("High",AQ1)), $AQ$7/0.1, IF(ISNUMBER(SEARCH("Low",AQ1)), $AQ$7/0.025, "No"))</f>
        <v>No</v>
      </c>
      <c r="AR30" s="7" t="str">
        <f>IF(ISNUMBER(SEARCH("High",AR1)), $AR$7/0.1, IF(ISNUMBER(SEARCH("Low",AR1)), $AR$7/0.025, "No"))</f>
        <v>No</v>
      </c>
      <c r="AS30" s="7" t="str">
        <f>IF(ISNUMBER(SEARCH("High",AS1)), $AS$7/0.1, IF(ISNUMBER(SEARCH("Low",AS1)), $AS$7/0.025, "No"))</f>
        <v>No</v>
      </c>
      <c r="AT30" s="7" t="str">
        <f>IF(ISNUMBER(SEARCH("High",AT1)), $AT$7/0.1, IF(ISNUMBER(SEARCH("Low",AT1)), $AT$7/0.025, "No"))</f>
        <v>No</v>
      </c>
      <c r="AU30" s="7">
        <f>IF(ISNUMBER(SEARCH("High",AU1)), $AU$7/0.1, IF(ISNUMBER(SEARCH("Low",AU1)), $AU$7/0.025, "No"))</f>
        <v>0.98709999999999998</v>
      </c>
      <c r="AV30" s="7">
        <f>IF(ISNUMBER(SEARCH("High",AV1)), $AV$7/0.1, IF(ISNUMBER(SEARCH("Low",AV1)), $AV$7/0.025, "No"))</f>
        <v>1.0591999999999999</v>
      </c>
    </row>
    <row r="31" spans="1:48" x14ac:dyDescent="0.2">
      <c r="A31" t="str">
        <f>$A$8</f>
        <v>4.19</v>
      </c>
      <c r="B31" t="str">
        <f>$B$8</f>
        <v>THCV</v>
      </c>
      <c r="C31" t="str">
        <f>$C$8</f>
        <v>Compou
nd
Amount</v>
      </c>
      <c r="D31" s="7">
        <f>IF(ISNUMBER(SEARCH("High",D1)), $D$8/0.1, IF(ISNUMBER(SEARCH("Low",D1)), $D$8/0.025, "No"))</f>
        <v>1.2189999999999999E-2</v>
      </c>
      <c r="E31" s="7">
        <f>IF(ISNUMBER(SEARCH("High",E1)), $E$8/0.1, IF(ISNUMBER(SEARCH("Low",E1)), $E$8/0.025, "No"))</f>
        <v>1.0992</v>
      </c>
      <c r="F31" s="7" t="str">
        <f>IF(ISNUMBER(SEARCH("High",F1)), $F$8/0.1, IF(ISNUMBER(SEARCH("Low",F1)), $F$8/0.025, "No"))</f>
        <v>No</v>
      </c>
      <c r="G31" s="7" t="str">
        <f>IF(ISNUMBER(SEARCH("High",G1)), $G$8/0.1, IF(ISNUMBER(SEARCH("Low",G1)), $G$8/0.025, "No"))</f>
        <v>No</v>
      </c>
      <c r="H31" s="7" t="str">
        <f>IF(ISNUMBER(SEARCH("High",H1)), $H$8/0.1, IF(ISNUMBER(SEARCH("Low",H1)), $H$8/0.025, "No"))</f>
        <v>No</v>
      </c>
      <c r="I31" s="7" t="str">
        <f>IF(ISNUMBER(SEARCH("High",I1)), $I$8/0.1, IF(ISNUMBER(SEARCH("Low",I1)), $I$8/0.025, "No"))</f>
        <v>No</v>
      </c>
      <c r="J31" s="7" t="str">
        <f>IF(ISNUMBER(SEARCH("High",J1)), $J$8/0.1, IF(ISNUMBER(SEARCH("Low",J1)), $J$8/0.025, "No"))</f>
        <v>No</v>
      </c>
      <c r="K31" s="7" t="str">
        <f>IF(ISNUMBER(SEARCH("High",K1)), $K$8/0.1, IF(ISNUMBER(SEARCH("Low",K1)), $K$8/0.025, "No"))</f>
        <v>No</v>
      </c>
      <c r="L31" s="7" t="str">
        <f>IF(ISNUMBER(SEARCH("High",L1)), $L$8/0.1, IF(ISNUMBER(SEARCH("Low",L1)), $L$8/0.025, "No"))</f>
        <v>No</v>
      </c>
      <c r="M31" s="7" t="str">
        <f>IF(ISNUMBER(SEARCH("High",M1)), $M$8/0.1, IF(ISNUMBER(SEARCH("Low",M1)), $M$8/0.025, "No"))</f>
        <v>No</v>
      </c>
      <c r="N31" s="7" t="str">
        <f>IF(ISNUMBER(SEARCH("High",N1)), $N$8/0.1, IF(ISNUMBER(SEARCH("Low",N1)), $N$8/0.025, "No"))</f>
        <v>No</v>
      </c>
      <c r="O31" s="7" t="str">
        <f>IF(ISNUMBER(SEARCH("High",O1)), $O$8/0.1, IF(ISNUMBER(SEARCH("Low",O1)), $O$8/0.025, "No"))</f>
        <v>No</v>
      </c>
      <c r="P31" s="7" t="str">
        <f>IF(ISNUMBER(SEARCH("High",P1)), $P$8/0.1, IF(ISNUMBER(SEARCH("Low",P1)), $P$8/0.025, "No"))</f>
        <v>No</v>
      </c>
      <c r="Q31" s="7" t="str">
        <f>IF(ISNUMBER(SEARCH("High",Q1)), $Q$8/0.1, IF(ISNUMBER(SEARCH("Low",Q1)), $Q$8/0.025, "No"))</f>
        <v>No</v>
      </c>
      <c r="R31" s="7">
        <f>IF(ISNUMBER(SEARCH("High",R1)), $R$8/0.1, IF(ISNUMBER(SEARCH("Low",R1)), $R$8/0.025, "No"))</f>
        <v>1.0915999999999999</v>
      </c>
      <c r="S31" s="7" t="str">
        <f>IF(ISNUMBER(SEARCH("High",S1)), $S$8/0.1, IF(ISNUMBER(SEARCH("Low",S1)), $S$8/0.025, "No"))</f>
        <v>No</v>
      </c>
      <c r="T31" s="7" t="str">
        <f>IF(ISNUMBER(SEARCH("High",T1)), $T$8/0.1, IF(ISNUMBER(SEARCH("Low",T1)), $T$8/0.025, "No"))</f>
        <v>No</v>
      </c>
      <c r="U31" s="7" t="str">
        <f>IF(ISNUMBER(SEARCH("High",U1)), $U$8/0.1, IF(ISNUMBER(SEARCH("Low",U1)), $U$8/0.025, "No"))</f>
        <v>No</v>
      </c>
      <c r="V31" s="7" t="str">
        <f>IF(ISNUMBER(SEARCH("High",V1)), $V$8/0.1, IF(ISNUMBER(SEARCH("Low",V1)), $V$8/0.025, "No"))</f>
        <v>No</v>
      </c>
      <c r="W31" s="7" t="str">
        <f>IF(ISNUMBER(SEARCH("High",W1)), $W$8/0.1, IF(ISNUMBER(SEARCH("Low",W1)), $W$8/0.025, "No"))</f>
        <v>No</v>
      </c>
      <c r="X31" s="7" t="str">
        <f>IF(ISNUMBER(SEARCH("High",X1)), $X$8/0.1, IF(ISNUMBER(SEARCH("Low",X1)), $X$8/0.025, "No"))</f>
        <v>No</v>
      </c>
      <c r="Y31" s="7" t="str">
        <f>IF(ISNUMBER(SEARCH("High",Y1)), $Y$8/0.1, IF(ISNUMBER(SEARCH("Low",Y1)), $Y$8/0.025, "No"))</f>
        <v>No</v>
      </c>
      <c r="Z31" s="7" t="str">
        <f>IF(ISNUMBER(SEARCH("High",Z1)), $Z$8/0.1, IF(ISNUMBER(SEARCH("Low",Z1)), $Z$8/0.025, "No"))</f>
        <v>No</v>
      </c>
      <c r="AA31" s="7">
        <f>IF(ISNUMBER(SEARCH("High",AA1)), $AA$8/0.1, IF(ISNUMBER(SEARCH("Low",AA1)), $AA$8/0.025, "No"))</f>
        <v>9.11E-3</v>
      </c>
      <c r="AB31" s="7">
        <f>IF(ISNUMBER(SEARCH("High",AB1)), $AB$8/0.1, IF(ISNUMBER(SEARCH("Low",AB1)), $AB$8/0.025, "No"))</f>
        <v>1.0868</v>
      </c>
      <c r="AC31" s="7" t="str">
        <f>IF(ISNUMBER(SEARCH("High",AC1)), $AC$8/0.1, IF(ISNUMBER(SEARCH("Low",AC1)), $AC$8/0.025, "No"))</f>
        <v>No</v>
      </c>
      <c r="AD31" s="7" t="str">
        <f>IF(ISNUMBER(SEARCH("High",AD1)), $AD$8/0.1, IF(ISNUMBER(SEARCH("Low",AD1)), $AD$8/0.025, "No"))</f>
        <v>No</v>
      </c>
      <c r="AE31" s="7" t="str">
        <f>IF(ISNUMBER(SEARCH("High",AE1)), $AE$8/0.1, IF(ISNUMBER(SEARCH("Low",AE1)), $AE$8/0.025, "No"))</f>
        <v>No</v>
      </c>
      <c r="AF31" s="7" t="str">
        <f>IF(ISNUMBER(SEARCH("High",AF1)), $AF$8/0.1, IF(ISNUMBER(SEARCH("Low",AF1)), $AF$8/0.025, "No"))</f>
        <v>No</v>
      </c>
      <c r="AG31" s="7" t="str">
        <f>IF(ISNUMBER(SEARCH("High",AG1)), $AG$8/0.1, IF(ISNUMBER(SEARCH("Low",AG1)), $AG$8/0.025, "No"))</f>
        <v>No</v>
      </c>
      <c r="AH31" s="7" t="str">
        <f>IF(ISNUMBER(SEARCH("High",AH1)), $AH$8/0.1, IF(ISNUMBER(SEARCH("Low",AH1)), $AH$8/0.025, "No"))</f>
        <v>No</v>
      </c>
      <c r="AI31" s="7" t="str">
        <f>IF(ISNUMBER(SEARCH("High",AI1)), $AI$8/0.1, IF(ISNUMBER(SEARCH("Low",AI1)), $AI$8/0.025, "No"))</f>
        <v>No</v>
      </c>
      <c r="AJ31" s="7" t="str">
        <f>IF(ISNUMBER(SEARCH("High",AJ1)), $AJ$8/0.1, IF(ISNUMBER(SEARCH("Low",AJ1)), $AJ$8/0.025, "No"))</f>
        <v>No</v>
      </c>
      <c r="AK31" s="7" t="str">
        <f>IF(ISNUMBER(SEARCH("High",AK1)), $AK$8/0.1, IF(ISNUMBER(SEARCH("Low",AK1)), $AK$8/0.025, "No"))</f>
        <v>No</v>
      </c>
      <c r="AL31" s="7" t="str">
        <f>IF(ISNUMBER(SEARCH("High",AL1)), $AL$8/0.1, IF(ISNUMBER(SEARCH("Low",AL1)), $AL$8/0.025, "No"))</f>
        <v>No</v>
      </c>
      <c r="AM31" s="7">
        <f>IF(ISNUMBER(SEARCH("High",AM1)), $AM$8/0.1, IF(ISNUMBER(SEARCH("Low",AM1)), $AM$8/0.025, "No"))</f>
        <v>8.0999999999999996E-3</v>
      </c>
      <c r="AN31" s="7">
        <f>IF(ISNUMBER(SEARCH("High",AN1)), $AN$8/0.1, IF(ISNUMBER(SEARCH("Low",AN1)), $AN$8/0.025, "No"))</f>
        <v>1.0824</v>
      </c>
      <c r="AO31" s="7" t="str">
        <f>IF(ISNUMBER(SEARCH("High",AO1)), $AO$8/0.1, IF(ISNUMBER(SEARCH("Low",AO1)), $AO$8/0.025, "No"))</f>
        <v>No</v>
      </c>
      <c r="AP31" s="7" t="str">
        <f>IF(ISNUMBER(SEARCH("High",AP1)), $AP$8/0.1, IF(ISNUMBER(SEARCH("Low",AP1)), $AP$8/0.025, "No"))</f>
        <v>No</v>
      </c>
      <c r="AQ31" s="7" t="str">
        <f>IF(ISNUMBER(SEARCH("High",AQ1)), $AQ$8/0.1, IF(ISNUMBER(SEARCH("Low",AQ1)), $AQ$8/0.025, "No"))</f>
        <v>No</v>
      </c>
      <c r="AR31" s="7" t="str">
        <f>IF(ISNUMBER(SEARCH("High",AR1)), $AR$8/0.1, IF(ISNUMBER(SEARCH("Low",AR1)), $AR$8/0.025, "No"))</f>
        <v>No</v>
      </c>
      <c r="AS31" s="7" t="str">
        <f>IF(ISNUMBER(SEARCH("High",AS1)), $AS$8/0.1, IF(ISNUMBER(SEARCH("Low",AS1)), $AS$8/0.025, "No"))</f>
        <v>No</v>
      </c>
      <c r="AT31" s="7" t="str">
        <f>IF(ISNUMBER(SEARCH("High",AT1)), $AT$8/0.1, IF(ISNUMBER(SEARCH("Low",AT1)), $AT$8/0.025, "No"))</f>
        <v>No</v>
      </c>
      <c r="AU31" s="7">
        <f>IF(ISNUMBER(SEARCH("High",AU1)), $AU$8/0.1, IF(ISNUMBER(SEARCH("Low",AU1)), $AU$8/0.025, "No"))</f>
        <v>7.6219999999999994E-3</v>
      </c>
      <c r="AV31" s="7">
        <f>IF(ISNUMBER(SEARCH("High",AV1)), $AV$8/0.1, IF(ISNUMBER(SEARCH("Low",AV1)), $AV$8/0.025, "No"))</f>
        <v>1.0859999999999999</v>
      </c>
    </row>
    <row r="32" spans="1:48" x14ac:dyDescent="0.2">
      <c r="A32" t="str">
        <f>$A$9</f>
        <v>5.30</v>
      </c>
      <c r="B32" t="str">
        <f>$B$9</f>
        <v>THCVA</v>
      </c>
      <c r="C32" t="str">
        <f>$C$9</f>
        <v>Compou
nd
Amount</v>
      </c>
      <c r="D32" s="7">
        <f>IF(ISNUMBER(SEARCH("High",D1)), $D$9/0.1, IF(ISNUMBER(SEARCH("Low",D1)), $D$9/0.025, "No"))</f>
        <v>0</v>
      </c>
      <c r="E32" s="7">
        <f>IF(ISNUMBER(SEARCH("High",E1)), $E$9/0.1, IF(ISNUMBER(SEARCH("Low",E1)), $E$9/0.025, "No"))</f>
        <v>1.1099999999999999</v>
      </c>
      <c r="F32" s="7" t="str">
        <f>IF(ISNUMBER(SEARCH("High",F1)), $F$9/0.1, IF(ISNUMBER(SEARCH("Low",F1)), $F$9/0.025, "No"))</f>
        <v>No</v>
      </c>
      <c r="G32" s="7" t="str">
        <f>IF(ISNUMBER(SEARCH("High",G1)), $G$9/0.1, IF(ISNUMBER(SEARCH("Low",G1)), $G$9/0.025, "No"))</f>
        <v>No</v>
      </c>
      <c r="H32" s="7" t="str">
        <f>IF(ISNUMBER(SEARCH("High",H1)), $H$9/0.1, IF(ISNUMBER(SEARCH("Low",H1)), $H$9/0.025, "No"))</f>
        <v>No</v>
      </c>
      <c r="I32" s="7" t="str">
        <f>IF(ISNUMBER(SEARCH("High",I1)), $I$9/0.1, IF(ISNUMBER(SEARCH("Low",I1)), $I$9/0.025, "No"))</f>
        <v>No</v>
      </c>
      <c r="J32" s="7" t="str">
        <f>IF(ISNUMBER(SEARCH("High",J1)), $J$9/0.1, IF(ISNUMBER(SEARCH("Low",J1)), $J$9/0.025, "No"))</f>
        <v>No</v>
      </c>
      <c r="K32" s="7" t="str">
        <f>IF(ISNUMBER(SEARCH("High",K1)), $K$9/0.1, IF(ISNUMBER(SEARCH("Low",K1)), $K$9/0.025, "No"))</f>
        <v>No</v>
      </c>
      <c r="L32" s="7" t="str">
        <f>IF(ISNUMBER(SEARCH("High",L1)), $L$9/0.1, IF(ISNUMBER(SEARCH("Low",L1)), $L$9/0.025, "No"))</f>
        <v>No</v>
      </c>
      <c r="M32" s="7" t="str">
        <f>IF(ISNUMBER(SEARCH("High",M1)), $M$9/0.1, IF(ISNUMBER(SEARCH("Low",M1)), $M$9/0.025, "No"))</f>
        <v>No</v>
      </c>
      <c r="N32" s="7" t="str">
        <f>IF(ISNUMBER(SEARCH("High",N1)), $N$9/0.1, IF(ISNUMBER(SEARCH("Low",N1)), $N$9/0.025, "No"))</f>
        <v>No</v>
      </c>
      <c r="O32" s="7" t="str">
        <f>IF(ISNUMBER(SEARCH("High",O1)), $O$9/0.1, IF(ISNUMBER(SEARCH("Low",O1)), $O$9/0.025, "No"))</f>
        <v>No</v>
      </c>
      <c r="P32" s="7" t="str">
        <f>IF(ISNUMBER(SEARCH("High",P1)), $P$9/0.1, IF(ISNUMBER(SEARCH("Low",P1)), $P$9/0.025, "No"))</f>
        <v>No</v>
      </c>
      <c r="Q32" s="7" t="str">
        <f>IF(ISNUMBER(SEARCH("High",Q1)), $Q$9/0.1, IF(ISNUMBER(SEARCH("Low",Q1)), $Q$9/0.025, "No"))</f>
        <v>No</v>
      </c>
      <c r="R32" s="7">
        <f>IF(ISNUMBER(SEARCH("High",R1)), $R$9/0.1, IF(ISNUMBER(SEARCH("Low",R1)), $R$9/0.025, "No"))</f>
        <v>1.0891999999999999</v>
      </c>
      <c r="S32" s="7" t="str">
        <f>IF(ISNUMBER(SEARCH("High",S1)), $S$9/0.1, IF(ISNUMBER(SEARCH("Low",S1)), $S$9/0.025, "No"))</f>
        <v>No</v>
      </c>
      <c r="T32" s="7" t="str">
        <f>IF(ISNUMBER(SEARCH("High",T1)), $T$9/0.1, IF(ISNUMBER(SEARCH("Low",T1)), $T$9/0.025, "No"))</f>
        <v>No</v>
      </c>
      <c r="U32" s="7" t="str">
        <f>IF(ISNUMBER(SEARCH("High",U1)), $U$9/0.1, IF(ISNUMBER(SEARCH("Low",U1)), $U$9/0.025, "No"))</f>
        <v>No</v>
      </c>
      <c r="V32" s="7" t="str">
        <f>IF(ISNUMBER(SEARCH("High",V1)), $V$9/0.1, IF(ISNUMBER(SEARCH("Low",V1)), $V$9/0.025, "No"))</f>
        <v>No</v>
      </c>
      <c r="W32" s="7" t="str">
        <f>IF(ISNUMBER(SEARCH("High",W1)), $W$9/0.1, IF(ISNUMBER(SEARCH("Low",W1)), $W$9/0.025, "No"))</f>
        <v>No</v>
      </c>
      <c r="X32" s="7" t="str">
        <f>IF(ISNUMBER(SEARCH("High",X1)), $X$9/0.1, IF(ISNUMBER(SEARCH("Low",X1)), $X$9/0.025, "No"))</f>
        <v>No</v>
      </c>
      <c r="Y32" s="7" t="str">
        <f>IF(ISNUMBER(SEARCH("High",Y1)), $Y$9/0.1, IF(ISNUMBER(SEARCH("Low",Y1)), $Y$9/0.025, "No"))</f>
        <v>No</v>
      </c>
      <c r="Z32" s="7" t="str">
        <f>IF(ISNUMBER(SEARCH("High",Z1)), $Z$9/0.1, IF(ISNUMBER(SEARCH("Low",Z1)), $Z$9/0.025, "No"))</f>
        <v>No</v>
      </c>
      <c r="AA32" s="7">
        <f>IF(ISNUMBER(SEARCH("High",AA1)), $AA$9/0.1, IF(ISNUMBER(SEARCH("Low",AA1)), $AA$9/0.025, "No"))</f>
        <v>0</v>
      </c>
      <c r="AB32" s="7">
        <f>IF(ISNUMBER(SEARCH("High",AB1)), $AB$9/0.1, IF(ISNUMBER(SEARCH("Low",AB1)), $AB$9/0.025, "No"))</f>
        <v>1.0715999999999999</v>
      </c>
      <c r="AC32" s="7" t="str">
        <f>IF(ISNUMBER(SEARCH("High",AC1)), $AC$9/0.1, IF(ISNUMBER(SEARCH("Low",AC1)), $AC$9/0.025, "No"))</f>
        <v>No</v>
      </c>
      <c r="AD32" s="7" t="str">
        <f>IF(ISNUMBER(SEARCH("High",AD1)), $AD$9/0.1, IF(ISNUMBER(SEARCH("Low",AD1)), $AD$9/0.025, "No"))</f>
        <v>No</v>
      </c>
      <c r="AE32" s="7" t="str">
        <f>IF(ISNUMBER(SEARCH("High",AE1)), $AE$9/0.1, IF(ISNUMBER(SEARCH("Low",AE1)), $AE$9/0.025, "No"))</f>
        <v>No</v>
      </c>
      <c r="AF32" s="7" t="str">
        <f>IF(ISNUMBER(SEARCH("High",AF1)), $AF$9/0.1, IF(ISNUMBER(SEARCH("Low",AF1)), $AF$9/0.025, "No"))</f>
        <v>No</v>
      </c>
      <c r="AG32" s="7" t="str">
        <f>IF(ISNUMBER(SEARCH("High",AG1)), $AG$9/0.1, IF(ISNUMBER(SEARCH("Low",AG1)), $AG$9/0.025, "No"))</f>
        <v>No</v>
      </c>
      <c r="AH32" s="7" t="str">
        <f>IF(ISNUMBER(SEARCH("High",AH1)), $AH$9/0.1, IF(ISNUMBER(SEARCH("Low",AH1)), $AH$9/0.025, "No"))</f>
        <v>No</v>
      </c>
      <c r="AI32" s="7" t="str">
        <f>IF(ISNUMBER(SEARCH("High",AI1)), $AI$9/0.1, IF(ISNUMBER(SEARCH("Low",AI1)), $AI$9/0.025, "No"))</f>
        <v>No</v>
      </c>
      <c r="AJ32" s="7" t="str">
        <f>IF(ISNUMBER(SEARCH("High",AJ1)), $AJ$9/0.1, IF(ISNUMBER(SEARCH("Low",AJ1)), $AJ$9/0.025, "No"))</f>
        <v>No</v>
      </c>
      <c r="AK32" s="7" t="str">
        <f>IF(ISNUMBER(SEARCH("High",AK1)), $AK$9/0.1, IF(ISNUMBER(SEARCH("Low",AK1)), $AK$9/0.025, "No"))</f>
        <v>No</v>
      </c>
      <c r="AL32" s="7" t="str">
        <f>IF(ISNUMBER(SEARCH("High",AL1)), $AL$9/0.1, IF(ISNUMBER(SEARCH("Low",AL1)), $AL$9/0.025, "No"))</f>
        <v>No</v>
      </c>
      <c r="AM32" s="7">
        <f>IF(ISNUMBER(SEARCH("High",AM1)), $AM$9/0.1, IF(ISNUMBER(SEARCH("Low",AM1)), $AM$9/0.025, "No"))</f>
        <v>4.8789999999999997E-3</v>
      </c>
      <c r="AN32" s="7">
        <f>IF(ISNUMBER(SEARCH("High",AN1)), $AN$9/0.1, IF(ISNUMBER(SEARCH("Low",AN1)), $AN$9/0.025, "No"))</f>
        <v>1.0664</v>
      </c>
      <c r="AO32" s="7" t="str">
        <f>IF(ISNUMBER(SEARCH("High",AO1)), $AO$9/0.1, IF(ISNUMBER(SEARCH("Low",AO1)), $AO$9/0.025, "No"))</f>
        <v>No</v>
      </c>
      <c r="AP32" s="7" t="str">
        <f>IF(ISNUMBER(SEARCH("High",AP1)), $AP$9/0.1, IF(ISNUMBER(SEARCH("Low",AP1)), $AP$9/0.025, "No"))</f>
        <v>No</v>
      </c>
      <c r="AQ32" s="7" t="str">
        <f>IF(ISNUMBER(SEARCH("High",AQ1)), $AQ$9/0.1, IF(ISNUMBER(SEARCH("Low",AQ1)), $AQ$9/0.025, "No"))</f>
        <v>No</v>
      </c>
      <c r="AR32" s="7" t="str">
        <f>IF(ISNUMBER(SEARCH("High",AR1)), $AR$9/0.1, IF(ISNUMBER(SEARCH("Low",AR1)), $AR$9/0.025, "No"))</f>
        <v>No</v>
      </c>
      <c r="AS32" s="7" t="str">
        <f>IF(ISNUMBER(SEARCH("High",AS1)), $AS$9/0.1, IF(ISNUMBER(SEARCH("Low",AS1)), $AS$9/0.025, "No"))</f>
        <v>No</v>
      </c>
      <c r="AT32" s="7" t="str">
        <f>IF(ISNUMBER(SEARCH("High",AT1)), $AT$9/0.1, IF(ISNUMBER(SEARCH("Low",AT1)), $AT$9/0.025, "No"))</f>
        <v>No</v>
      </c>
      <c r="AU32" s="7">
        <f>IF(ISNUMBER(SEARCH("High",AU1)), $AU$9/0.1, IF(ISNUMBER(SEARCH("Low",AU1)), $AU$9/0.025, "No"))</f>
        <v>5.1359999999999999E-3</v>
      </c>
      <c r="AV32" s="7">
        <f>IF(ISNUMBER(SEARCH("High",AV1)), $AV$9/0.1, IF(ISNUMBER(SEARCH("Low",AV1)), $AV$9/0.025, "No"))</f>
        <v>1.0664</v>
      </c>
    </row>
    <row r="33" spans="1:48" x14ac:dyDescent="0.2">
      <c r="A33" t="str">
        <f>$A$10</f>
        <v>5.56</v>
      </c>
      <c r="B33" t="str">
        <f>$B$10</f>
        <v>CBCV</v>
      </c>
      <c r="C33" t="str">
        <f>$C$10</f>
        <v>Compou
nd
Amount</v>
      </c>
      <c r="D33" s="7">
        <f>IF(ISNUMBER(SEARCH("High",D1)), $D$10/0.1, IF(ISNUMBER(SEARCH("Low",D1)), $D$10/0.025, "No"))</f>
        <v>0</v>
      </c>
      <c r="E33" s="7">
        <f>IF(ISNUMBER(SEARCH("High",E1)), $E$10/0.1, IF(ISNUMBER(SEARCH("Low",E1)), $E$10/0.025, "No"))</f>
        <v>1.1315999999999999</v>
      </c>
      <c r="F33" s="7" t="str">
        <f>IF(ISNUMBER(SEARCH("High",F1)), $F$10/0.1, IF(ISNUMBER(SEARCH("Low",F1)), $F$10/0.025, "No"))</f>
        <v>No</v>
      </c>
      <c r="G33" s="7" t="str">
        <f>IF(ISNUMBER(SEARCH("High",G1)), $G$10/0.1, IF(ISNUMBER(SEARCH("Low",G1)), $G$10/0.025, "No"))</f>
        <v>No</v>
      </c>
      <c r="H33" s="7" t="str">
        <f>IF(ISNUMBER(SEARCH("High",H1)), $H$10/0.1, IF(ISNUMBER(SEARCH("Low",H1)), $H$10/0.025, "No"))</f>
        <v>No</v>
      </c>
      <c r="I33" s="7" t="str">
        <f>IF(ISNUMBER(SEARCH("High",I1)), $I$10/0.1, IF(ISNUMBER(SEARCH("Low",I1)), $I$10/0.025, "No"))</f>
        <v>No</v>
      </c>
      <c r="J33" s="7" t="str">
        <f>IF(ISNUMBER(SEARCH("High",J1)), $J$10/0.1, IF(ISNUMBER(SEARCH("Low",J1)), $J$10/0.025, "No"))</f>
        <v>No</v>
      </c>
      <c r="K33" s="7" t="str">
        <f>IF(ISNUMBER(SEARCH("High",K1)), $K$10/0.1, IF(ISNUMBER(SEARCH("Low",K1)), $K$10/0.025, "No"))</f>
        <v>No</v>
      </c>
      <c r="L33" s="7" t="str">
        <f>IF(ISNUMBER(SEARCH("High",L1)), $L$10/0.1, IF(ISNUMBER(SEARCH("Low",L1)), $L$10/0.025, "No"))</f>
        <v>No</v>
      </c>
      <c r="M33" s="7" t="str">
        <f>IF(ISNUMBER(SEARCH("High",M1)), $M$10/0.1, IF(ISNUMBER(SEARCH("Low",M1)), $M$10/0.025, "No"))</f>
        <v>No</v>
      </c>
      <c r="N33" s="7" t="str">
        <f>IF(ISNUMBER(SEARCH("High",N1)), $N$10/0.1, IF(ISNUMBER(SEARCH("Low",N1)), $N$10/0.025, "No"))</f>
        <v>No</v>
      </c>
      <c r="O33" s="7" t="str">
        <f>IF(ISNUMBER(SEARCH("High",O1)), $O$10/0.1, IF(ISNUMBER(SEARCH("Low",O1)), $O$10/0.025, "No"))</f>
        <v>No</v>
      </c>
      <c r="P33" s="7" t="str">
        <f>IF(ISNUMBER(SEARCH("High",P1)), $P$10/0.1, IF(ISNUMBER(SEARCH("Low",P1)), $P$10/0.025, "No"))</f>
        <v>No</v>
      </c>
      <c r="Q33" s="7" t="str">
        <f>IF(ISNUMBER(SEARCH("High",Q1)), $Q$10/0.1, IF(ISNUMBER(SEARCH("Low",Q1)), $Q$10/0.025, "No"))</f>
        <v>No</v>
      </c>
      <c r="R33" s="7">
        <f>IF(ISNUMBER(SEARCH("High",R1)), $R$10/0.1, IF(ISNUMBER(SEARCH("Low",R1)), $R$10/0.025, "No"))</f>
        <v>1.1168</v>
      </c>
      <c r="S33" s="7" t="str">
        <f>IF(ISNUMBER(SEARCH("High",S1)), $S$10/0.1, IF(ISNUMBER(SEARCH("Low",S1)), $S$10/0.025, "No"))</f>
        <v>No</v>
      </c>
      <c r="T33" s="7" t="str">
        <f>IF(ISNUMBER(SEARCH("High",T1)), $T$10/0.1, IF(ISNUMBER(SEARCH("Low",T1)), $T$10/0.025, "No"))</f>
        <v>No</v>
      </c>
      <c r="U33" s="7" t="str">
        <f>IF(ISNUMBER(SEARCH("High",U1)), $U$10/0.1, IF(ISNUMBER(SEARCH("Low",U1)), $U$10/0.025, "No"))</f>
        <v>No</v>
      </c>
      <c r="V33" s="7" t="str">
        <f>IF(ISNUMBER(SEARCH("High",V1)), $V$10/0.1, IF(ISNUMBER(SEARCH("Low",V1)), $V$10/0.025, "No"))</f>
        <v>No</v>
      </c>
      <c r="W33" s="7" t="str">
        <f>IF(ISNUMBER(SEARCH("High",W1)), $W$10/0.1, IF(ISNUMBER(SEARCH("Low",W1)), $W$10/0.025, "No"))</f>
        <v>No</v>
      </c>
      <c r="X33" s="7" t="str">
        <f>IF(ISNUMBER(SEARCH("High",X1)), $X$10/0.1, IF(ISNUMBER(SEARCH("Low",X1)), $X$10/0.025, "No"))</f>
        <v>No</v>
      </c>
      <c r="Y33" s="7" t="str">
        <f>IF(ISNUMBER(SEARCH("High",Y1)), $Y$10/0.1, IF(ISNUMBER(SEARCH("Low",Y1)), $Y$10/0.025, "No"))</f>
        <v>No</v>
      </c>
      <c r="Z33" s="7" t="str">
        <f>IF(ISNUMBER(SEARCH("High",Z1)), $Z$10/0.1, IF(ISNUMBER(SEARCH("Low",Z1)), $Z$10/0.025, "No"))</f>
        <v>No</v>
      </c>
      <c r="AA33" s="7">
        <f>IF(ISNUMBER(SEARCH("High",AA1)), $AA$10/0.1, IF(ISNUMBER(SEARCH("Low",AA1)), $AA$10/0.025, "No"))</f>
        <v>0</v>
      </c>
      <c r="AB33" s="7">
        <f>IF(ISNUMBER(SEARCH("High",AB1)), $AB$10/0.1, IF(ISNUMBER(SEARCH("Low",AB1)), $AB$10/0.025, "No"))</f>
        <v>1.1072</v>
      </c>
      <c r="AC33" s="7" t="str">
        <f>IF(ISNUMBER(SEARCH("High",AC1)), $AC$10/0.1, IF(ISNUMBER(SEARCH("Low",AC1)), $AC$10/0.025, "No"))</f>
        <v>No</v>
      </c>
      <c r="AD33" s="7" t="str">
        <f>IF(ISNUMBER(SEARCH("High",AD1)), $AD$10/0.1, IF(ISNUMBER(SEARCH("Low",AD1)), $AD$10/0.025, "No"))</f>
        <v>No</v>
      </c>
      <c r="AE33" s="7" t="str">
        <f>IF(ISNUMBER(SEARCH("High",AE1)), $AE$10/0.1, IF(ISNUMBER(SEARCH("Low",AE1)), $AE$10/0.025, "No"))</f>
        <v>No</v>
      </c>
      <c r="AF33" s="7" t="str">
        <f>IF(ISNUMBER(SEARCH("High",AF1)), $AF$10/0.1, IF(ISNUMBER(SEARCH("Low",AF1)), $AF$10/0.025, "No"))</f>
        <v>No</v>
      </c>
      <c r="AG33" s="7" t="str">
        <f>IF(ISNUMBER(SEARCH("High",AG1)), $AG$10/0.1, IF(ISNUMBER(SEARCH("Low",AG1)), $AG$10/0.025, "No"))</f>
        <v>No</v>
      </c>
      <c r="AH33" s="7" t="str">
        <f>IF(ISNUMBER(SEARCH("High",AH1)), $AH$10/0.1, IF(ISNUMBER(SEARCH("Low",AH1)), $AH$10/0.025, "No"))</f>
        <v>No</v>
      </c>
      <c r="AI33" s="7" t="str">
        <f>IF(ISNUMBER(SEARCH("High",AI1)), $AI$10/0.1, IF(ISNUMBER(SEARCH("Low",AI1)), $AI$10/0.025, "No"))</f>
        <v>No</v>
      </c>
      <c r="AJ33" s="7" t="str">
        <f>IF(ISNUMBER(SEARCH("High",AJ1)), $AJ$10/0.1, IF(ISNUMBER(SEARCH("Low",AJ1)), $AJ$10/0.025, "No"))</f>
        <v>No</v>
      </c>
      <c r="AK33" s="7" t="str">
        <f>IF(ISNUMBER(SEARCH("High",AK1)), $AK$10/0.1, IF(ISNUMBER(SEARCH("Low",AK1)), $AK$10/0.025, "No"))</f>
        <v>No</v>
      </c>
      <c r="AL33" s="7" t="str">
        <f>IF(ISNUMBER(SEARCH("High",AL1)), $AL$10/0.1, IF(ISNUMBER(SEARCH("Low",AL1)), $AL$10/0.025, "No"))</f>
        <v>No</v>
      </c>
      <c r="AM33" s="7">
        <f>IF(ISNUMBER(SEARCH("High",AM1)), $AM$10/0.1, IF(ISNUMBER(SEARCH("Low",AM1)), $AM$10/0.025, "No"))</f>
        <v>0</v>
      </c>
      <c r="AN33" s="7">
        <f>IF(ISNUMBER(SEARCH("High",AN1)), $AN$10/0.1, IF(ISNUMBER(SEARCH("Low",AN1)), $AN$10/0.025, "No"))</f>
        <v>1.1039999999999999</v>
      </c>
      <c r="AO33" s="7" t="str">
        <f>IF(ISNUMBER(SEARCH("High",AO1)), $AO$10/0.1, IF(ISNUMBER(SEARCH("Low",AO1)), $AO$10/0.025, "No"))</f>
        <v>No</v>
      </c>
      <c r="AP33" s="7" t="str">
        <f>IF(ISNUMBER(SEARCH("High",AP1)), $AP$10/0.1, IF(ISNUMBER(SEARCH("Low",AP1)), $AP$10/0.025, "No"))</f>
        <v>No</v>
      </c>
      <c r="AQ33" s="7" t="str">
        <f>IF(ISNUMBER(SEARCH("High",AQ1)), $AQ$10/0.1, IF(ISNUMBER(SEARCH("Low",AQ1)), $AQ$10/0.025, "No"))</f>
        <v>No</v>
      </c>
      <c r="AR33" s="7" t="str">
        <f>IF(ISNUMBER(SEARCH("High",AR1)), $AR$10/0.1, IF(ISNUMBER(SEARCH("Low",AR1)), $AR$10/0.025, "No"))</f>
        <v>No</v>
      </c>
      <c r="AS33" s="7" t="str">
        <f>IF(ISNUMBER(SEARCH("High",AS1)), $AS$10/0.1, IF(ISNUMBER(SEARCH("Low",AS1)), $AS$10/0.025, "No"))</f>
        <v>No</v>
      </c>
      <c r="AT33" s="7" t="str">
        <f>IF(ISNUMBER(SEARCH("High",AT1)), $AT$10/0.1, IF(ISNUMBER(SEARCH("Low",AT1)), $AT$10/0.025, "No"))</f>
        <v>No</v>
      </c>
      <c r="AU33" s="7">
        <f>IF(ISNUMBER(SEARCH("High",AU1)), $AU$10/0.1, IF(ISNUMBER(SEARCH("Low",AU1)), $AU$10/0.025, "No"))</f>
        <v>0</v>
      </c>
      <c r="AV33" s="7">
        <f>IF(ISNUMBER(SEARCH("High",AV1)), $AV$10/0.1, IF(ISNUMBER(SEARCH("Low",AV1)), $AV$10/0.025, "No"))</f>
        <v>1.1059999999999999</v>
      </c>
    </row>
    <row r="34" spans="1:48" x14ac:dyDescent="0.2">
      <c r="A34" t="str">
        <f>$A$11</f>
        <v>6.11</v>
      </c>
      <c r="B34" t="str">
        <f>$B$11</f>
        <v>CBN</v>
      </c>
      <c r="C34" t="str">
        <f>$C$11</f>
        <v>Compou
nd
Amount</v>
      </c>
      <c r="D34" s="7">
        <f>IF(ISNUMBER(SEARCH("High",D1)), $D$11/0.1, IF(ISNUMBER(SEARCH("Low",D1)), $D$11/0.025, "No"))</f>
        <v>0.95669999999999999</v>
      </c>
      <c r="E34" s="7">
        <f>IF(ISNUMBER(SEARCH("High",E1)), $E$11/0.1, IF(ISNUMBER(SEARCH("Low",E1)), $E$11/0.025, "No"))</f>
        <v>1.0924</v>
      </c>
      <c r="F34" s="7" t="str">
        <f>IF(ISNUMBER(SEARCH("High",F1)), $F$11/0.1, IF(ISNUMBER(SEARCH("Low",F1)), $F$11/0.025, "No"))</f>
        <v>No</v>
      </c>
      <c r="G34" s="7" t="str">
        <f>IF(ISNUMBER(SEARCH("High",G1)), $G$11/0.1, IF(ISNUMBER(SEARCH("Low",G1)), $G$11/0.025, "No"))</f>
        <v>No</v>
      </c>
      <c r="H34" s="7" t="str">
        <f>IF(ISNUMBER(SEARCH("High",H1)), $H$11/0.1, IF(ISNUMBER(SEARCH("Low",H1)), $H$11/0.025, "No"))</f>
        <v>No</v>
      </c>
      <c r="I34" s="7" t="str">
        <f>IF(ISNUMBER(SEARCH("High",I1)), $I$11/0.1, IF(ISNUMBER(SEARCH("Low",I1)), $I$11/0.025, "No"))</f>
        <v>No</v>
      </c>
      <c r="J34" s="7" t="str">
        <f>IF(ISNUMBER(SEARCH("High",J1)), $J$11/0.1, IF(ISNUMBER(SEARCH("Low",J1)), $J$11/0.025, "No"))</f>
        <v>No</v>
      </c>
      <c r="K34" s="7" t="str">
        <f>IF(ISNUMBER(SEARCH("High",K1)), $K$11/0.1, IF(ISNUMBER(SEARCH("Low",K1)), $K$11/0.025, "No"))</f>
        <v>No</v>
      </c>
      <c r="L34" s="7" t="str">
        <f>IF(ISNUMBER(SEARCH("High",L1)), $L$11/0.1, IF(ISNUMBER(SEARCH("Low",L1)), $L$11/0.025, "No"))</f>
        <v>No</v>
      </c>
      <c r="M34" s="7" t="str">
        <f>IF(ISNUMBER(SEARCH("High",M1)), $M$11/0.1, IF(ISNUMBER(SEARCH("Low",M1)), $M$11/0.025, "No"))</f>
        <v>No</v>
      </c>
      <c r="N34" s="7" t="str">
        <f>IF(ISNUMBER(SEARCH("High",N1)), $N$11/0.1, IF(ISNUMBER(SEARCH("Low",N1)), $N$11/0.025, "No"))</f>
        <v>No</v>
      </c>
      <c r="O34" s="7" t="str">
        <f>IF(ISNUMBER(SEARCH("High",O1)), $O$11/0.1, IF(ISNUMBER(SEARCH("Low",O1)), $O$11/0.025, "No"))</f>
        <v>No</v>
      </c>
      <c r="P34" s="7" t="str">
        <f>IF(ISNUMBER(SEARCH("High",P1)), $P$11/0.1, IF(ISNUMBER(SEARCH("Low",P1)), $P$11/0.025, "No"))</f>
        <v>No</v>
      </c>
      <c r="Q34" s="7" t="str">
        <f>IF(ISNUMBER(SEARCH("High",Q1)), $Q$11/0.1, IF(ISNUMBER(SEARCH("Low",Q1)), $Q$11/0.025, "No"))</f>
        <v>No</v>
      </c>
      <c r="R34" s="7">
        <f>IF(ISNUMBER(SEARCH("High",R1)), $R$11/0.1, IF(ISNUMBER(SEARCH("Low",R1)), $R$11/0.025, "No"))</f>
        <v>1.0791999999999999</v>
      </c>
      <c r="S34" s="7" t="str">
        <f>IF(ISNUMBER(SEARCH("High",S1)), $S$11/0.1, IF(ISNUMBER(SEARCH("Low",S1)), $S$11/0.025, "No"))</f>
        <v>No</v>
      </c>
      <c r="T34" s="7" t="str">
        <f>IF(ISNUMBER(SEARCH("High",T1)), $T$11/0.1, IF(ISNUMBER(SEARCH("Low",T1)), $T$11/0.025, "No"))</f>
        <v>No</v>
      </c>
      <c r="U34" s="7" t="str">
        <f>IF(ISNUMBER(SEARCH("High",U1)), $U$11/0.1, IF(ISNUMBER(SEARCH("Low",U1)), $U$11/0.025, "No"))</f>
        <v>No</v>
      </c>
      <c r="V34" s="7" t="str">
        <f>IF(ISNUMBER(SEARCH("High",V1)), $V$11/0.1, IF(ISNUMBER(SEARCH("Low",V1)), $V$11/0.025, "No"))</f>
        <v>No</v>
      </c>
      <c r="W34" s="7" t="str">
        <f>IF(ISNUMBER(SEARCH("High",W1)), $W$11/0.1, IF(ISNUMBER(SEARCH("Low",W1)), $W$11/0.025, "No"))</f>
        <v>No</v>
      </c>
      <c r="X34" s="7" t="str">
        <f>IF(ISNUMBER(SEARCH("High",X1)), $X$11/0.1, IF(ISNUMBER(SEARCH("Low",X1)), $X$11/0.025, "No"))</f>
        <v>No</v>
      </c>
      <c r="Y34" s="7" t="str">
        <f>IF(ISNUMBER(SEARCH("High",Y1)), $Y$11/0.1, IF(ISNUMBER(SEARCH("Low",Y1)), $Y$11/0.025, "No"))</f>
        <v>No</v>
      </c>
      <c r="Z34" s="7" t="str">
        <f>IF(ISNUMBER(SEARCH("High",Z1)), $Z$11/0.1, IF(ISNUMBER(SEARCH("Low",Z1)), $Z$11/0.025, "No"))</f>
        <v>No</v>
      </c>
      <c r="AA34" s="7">
        <f>IF(ISNUMBER(SEARCH("High",AA1)), $AA$11/0.1, IF(ISNUMBER(SEARCH("Low",AA1)), $AA$11/0.025, "No"))</f>
        <v>0.9375</v>
      </c>
      <c r="AB34" s="7">
        <f>IF(ISNUMBER(SEARCH("High",AB1)), $AB$11/0.1, IF(ISNUMBER(SEARCH("Low",AB1)), $AB$11/0.025, "No"))</f>
        <v>1.0703999999999998</v>
      </c>
      <c r="AC34" s="7" t="str">
        <f>IF(ISNUMBER(SEARCH("High",AC1)), $AC$11/0.1, IF(ISNUMBER(SEARCH("Low",AC1)), $AC$11/0.025, "No"))</f>
        <v>No</v>
      </c>
      <c r="AD34" s="7" t="str">
        <f>IF(ISNUMBER(SEARCH("High",AD1)), $AD$11/0.1, IF(ISNUMBER(SEARCH("Low",AD1)), $AD$11/0.025, "No"))</f>
        <v>No</v>
      </c>
      <c r="AE34" s="7" t="str">
        <f>IF(ISNUMBER(SEARCH("High",AE1)), $AE$11/0.1, IF(ISNUMBER(SEARCH("Low",AE1)), $AE$11/0.025, "No"))</f>
        <v>No</v>
      </c>
      <c r="AF34" s="7" t="str">
        <f>IF(ISNUMBER(SEARCH("High",AF1)), $AF$11/0.1, IF(ISNUMBER(SEARCH("Low",AF1)), $AF$11/0.025, "No"))</f>
        <v>No</v>
      </c>
      <c r="AG34" s="7" t="str">
        <f>IF(ISNUMBER(SEARCH("High",AG1)), $AG$11/0.1, IF(ISNUMBER(SEARCH("Low",AG1)), $AG$11/0.025, "No"))</f>
        <v>No</v>
      </c>
      <c r="AH34" s="7" t="str">
        <f>IF(ISNUMBER(SEARCH("High",AH1)), $AH$11/0.1, IF(ISNUMBER(SEARCH("Low",AH1)), $AH$11/0.025, "No"))</f>
        <v>No</v>
      </c>
      <c r="AI34" s="7" t="str">
        <f>IF(ISNUMBER(SEARCH("High",AI1)), $AI$11/0.1, IF(ISNUMBER(SEARCH("Low",AI1)), $AI$11/0.025, "No"))</f>
        <v>No</v>
      </c>
      <c r="AJ34" s="7" t="str">
        <f>IF(ISNUMBER(SEARCH("High",AJ1)), $AJ$11/0.1, IF(ISNUMBER(SEARCH("Low",AJ1)), $AJ$11/0.025, "No"))</f>
        <v>No</v>
      </c>
      <c r="AK34" s="7" t="str">
        <f>IF(ISNUMBER(SEARCH("High",AK1)), $AK$11/0.1, IF(ISNUMBER(SEARCH("Low",AK1)), $AK$11/0.025, "No"))</f>
        <v>No</v>
      </c>
      <c r="AL34" s="7" t="str">
        <f>IF(ISNUMBER(SEARCH("High",AL1)), $AL$11/0.1, IF(ISNUMBER(SEARCH("Low",AL1)), $AL$11/0.025, "No"))</f>
        <v>No</v>
      </c>
      <c r="AM34" s="7">
        <f>IF(ISNUMBER(SEARCH("High",AM1)), $AM$11/0.1, IF(ISNUMBER(SEARCH("Low",AM1)), $AM$11/0.025, "No"))</f>
        <v>0.92569999999999997</v>
      </c>
      <c r="AN34" s="7">
        <f>IF(ISNUMBER(SEARCH("High",AN1)), $AN$11/0.1, IF(ISNUMBER(SEARCH("Low",AN1)), $AN$11/0.025, "No"))</f>
        <v>1.0671999999999999</v>
      </c>
      <c r="AO34" s="7" t="str">
        <f>IF(ISNUMBER(SEARCH("High",AO1)), $AO$11/0.1, IF(ISNUMBER(SEARCH("Low",AO1)), $AO$11/0.025, "No"))</f>
        <v>No</v>
      </c>
      <c r="AP34" s="7" t="str">
        <f>IF(ISNUMBER(SEARCH("High",AP1)), $AP$11/0.1, IF(ISNUMBER(SEARCH("Low",AP1)), $AP$11/0.025, "No"))</f>
        <v>No</v>
      </c>
      <c r="AQ34" s="7" t="str">
        <f>IF(ISNUMBER(SEARCH("High",AQ1)), $AQ$11/0.1, IF(ISNUMBER(SEARCH("Low",AQ1)), $AQ$11/0.025, "No"))</f>
        <v>No</v>
      </c>
      <c r="AR34" s="7" t="str">
        <f>IF(ISNUMBER(SEARCH("High",AR1)), $AR$11/0.1, IF(ISNUMBER(SEARCH("Low",AR1)), $AR$11/0.025, "No"))</f>
        <v>No</v>
      </c>
      <c r="AS34" s="7" t="str">
        <f>IF(ISNUMBER(SEARCH("High",AS1)), $AS$11/0.1, IF(ISNUMBER(SEARCH("Low",AS1)), $AS$11/0.025, "No"))</f>
        <v>No</v>
      </c>
      <c r="AT34" s="7" t="str">
        <f>IF(ISNUMBER(SEARCH("High",AT1)), $AT$11/0.1, IF(ISNUMBER(SEARCH("Low",AT1)), $AT$11/0.025, "No"))</f>
        <v>No</v>
      </c>
      <c r="AU34" s="7">
        <f>IF(ISNUMBER(SEARCH("High",AU1)), $AU$11/0.1, IF(ISNUMBER(SEARCH("Low",AU1)), $AU$11/0.025, "No"))</f>
        <v>0.92530000000000001</v>
      </c>
      <c r="AV34" s="7">
        <f>IF(ISNUMBER(SEARCH("High",AV1)), $AV$11/0.1, IF(ISNUMBER(SEARCH("Low",AV1)), $AV$11/0.025, "No"))</f>
        <v>1.0680000000000001</v>
      </c>
    </row>
    <row r="35" spans="1:48" x14ac:dyDescent="0.2">
      <c r="A35" t="str">
        <f>$A$12</f>
        <v>7.39</v>
      </c>
      <c r="B35" t="str">
        <f>$B$12</f>
        <v>BDTBP</v>
      </c>
      <c r="C35" t="str">
        <f>$C$12</f>
        <v>Compou
nd
Amount</v>
      </c>
      <c r="D35" s="7">
        <f>IF(ISNUMBER(SEARCH("High",D1)), $D$12/0.1, IF(ISNUMBER(SEARCH("Low",D1)), $D$12/0.1, "No"))</f>
        <v>1</v>
      </c>
      <c r="E35" s="7">
        <f>IF(ISNUMBER(SEARCH("High",E1)), $E$12/0.1, IF(ISNUMBER(SEARCH("Low",E1)), $E$12/0.1, "No"))</f>
        <v>1</v>
      </c>
      <c r="F35" s="7" t="str">
        <f>IF(ISNUMBER(SEARCH("High",F1)), $F$12/0.1, IF(ISNUMBER(SEARCH("Low",F1)), $F$12/0.1, "No"))</f>
        <v>No</v>
      </c>
      <c r="G35" s="7" t="str">
        <f>IF(ISNUMBER(SEARCH("High",G1)), $G$12/0.1, IF(ISNUMBER(SEARCH("Low",G1)), $G$12/0.1, "No"))</f>
        <v>No</v>
      </c>
      <c r="H35" s="7" t="str">
        <f>IF(ISNUMBER(SEARCH("High",H1)), $H$12/0.1, IF(ISNUMBER(SEARCH("Low",H1)), $H$12/0.1, "No"))</f>
        <v>No</v>
      </c>
      <c r="I35" s="7" t="str">
        <f>IF(ISNUMBER(SEARCH("High",I1)), $I$12/0.1, IF(ISNUMBER(SEARCH("Low",I1)), $I$12/0.1, "No"))</f>
        <v>No</v>
      </c>
      <c r="J35" s="7" t="str">
        <f>IF(ISNUMBER(SEARCH("High",J1)), $J$12/0.1, IF(ISNUMBER(SEARCH("Low",J1)), $J$12/0.1, "No"))</f>
        <v>No</v>
      </c>
      <c r="K35" s="7" t="str">
        <f>IF(ISNUMBER(SEARCH("High",K1)), $K$12/0.1, IF(ISNUMBER(SEARCH("Low",K1)), $K$12/0.1, "No"))</f>
        <v>No</v>
      </c>
      <c r="L35" s="7" t="str">
        <f>IF(ISNUMBER(SEARCH("High",L1)), $L$12/0.1, IF(ISNUMBER(SEARCH("Low",L1)), $L$12/0.1, "No"))</f>
        <v>No</v>
      </c>
      <c r="M35" s="7" t="str">
        <f>IF(ISNUMBER(SEARCH("High",M1)), $M$12/0.1, IF(ISNUMBER(SEARCH("Low",M1)), $M$12/0.1, "No"))</f>
        <v>No</v>
      </c>
      <c r="N35" s="7" t="str">
        <f>IF(ISNUMBER(SEARCH("High",N1)), $N$12/0.1, IF(ISNUMBER(SEARCH("Low",N1)), $N$12/0.1, "No"))</f>
        <v>No</v>
      </c>
      <c r="O35" s="7" t="str">
        <f>IF(ISNUMBER(SEARCH("High",O1)), $O$12/0.1, IF(ISNUMBER(SEARCH("Low",O1)), $O$12/0.1, "No"))</f>
        <v>No</v>
      </c>
      <c r="P35" s="7" t="str">
        <f>IF(ISNUMBER(SEARCH("High",P1)), $P$12/0.1, IF(ISNUMBER(SEARCH("Low",P1)), $P$12/0.1, "No"))</f>
        <v>No</v>
      </c>
      <c r="Q35" s="7" t="str">
        <f>IF(ISNUMBER(SEARCH("High",Q1)), $Q$12/0.1, IF(ISNUMBER(SEARCH("Low",Q1)), $Q$12/0.1, "No"))</f>
        <v>No</v>
      </c>
      <c r="R35" s="7">
        <f>IF(ISNUMBER(SEARCH("High",R1)), $R$12/0.1, IF(ISNUMBER(SEARCH("Low",R1)), $R$12/0.1, "No"))</f>
        <v>1</v>
      </c>
      <c r="S35" s="7" t="str">
        <f>IF(ISNUMBER(SEARCH("High",S1)), $S$12/0.1, IF(ISNUMBER(SEARCH("Low",S1)), $S$12/0.1, "No"))</f>
        <v>No</v>
      </c>
      <c r="T35" s="7" t="str">
        <f>IF(ISNUMBER(SEARCH("High",T1)), $T$12/0.1, IF(ISNUMBER(SEARCH("Low",T1)), $T$12/0.1, "No"))</f>
        <v>No</v>
      </c>
      <c r="U35" s="7" t="str">
        <f>IF(ISNUMBER(SEARCH("High",U1)), $U$12/0.1, IF(ISNUMBER(SEARCH("Low",U1)), $U$12/0.1, "No"))</f>
        <v>No</v>
      </c>
      <c r="V35" s="7" t="str">
        <f>IF(ISNUMBER(SEARCH("High",V1)), $V$12/0.1, IF(ISNUMBER(SEARCH("Low",V1)), $V$12/0.1, "No"))</f>
        <v>No</v>
      </c>
      <c r="W35" s="7" t="str">
        <f>IF(ISNUMBER(SEARCH("High",W1)), $W$12/0.1, IF(ISNUMBER(SEARCH("Low",W1)), $W$12/0.1, "No"))</f>
        <v>No</v>
      </c>
      <c r="X35" s="7" t="str">
        <f>IF(ISNUMBER(SEARCH("High",X1)), $X$12/0.1, IF(ISNUMBER(SEARCH("Low",X1)), $X$12/0.1, "No"))</f>
        <v>No</v>
      </c>
      <c r="Y35" s="7" t="str">
        <f>IF(ISNUMBER(SEARCH("High",Y1)), $Y$12/0.1, IF(ISNUMBER(SEARCH("Low",Y1)), $Y$12/0.1, "No"))</f>
        <v>No</v>
      </c>
      <c r="Z35" s="7" t="str">
        <f>IF(ISNUMBER(SEARCH("High",Z1)), $Z$12/0.1, IF(ISNUMBER(SEARCH("Low",Z1)), $Z$12/0.1, "No"))</f>
        <v>No</v>
      </c>
      <c r="AA35" s="7">
        <f>IF(ISNUMBER(SEARCH("High",AA1)), $AA$12/0.1, IF(ISNUMBER(SEARCH("Low",AA1)), $AA$12/0.1, "No"))</f>
        <v>1</v>
      </c>
      <c r="AB35" s="7">
        <f>IF(ISNUMBER(SEARCH("High",AB1)), $AB$12/0.1, IF(ISNUMBER(SEARCH("Low",AB1)), $AB$12/0.1, "No"))</f>
        <v>1</v>
      </c>
      <c r="AC35" s="7" t="str">
        <f>IF(ISNUMBER(SEARCH("High",AC1)), $AC$12/0.1, IF(ISNUMBER(SEARCH("Low",AC1)), $AC$12/0.1, "No"))</f>
        <v>No</v>
      </c>
      <c r="AD35" s="7" t="str">
        <f>IF(ISNUMBER(SEARCH("High",AD1)), $AD$12/0.1, IF(ISNUMBER(SEARCH("Low",AD1)), $AD$12/0.1, "No"))</f>
        <v>No</v>
      </c>
      <c r="AE35" s="7" t="str">
        <f>IF(ISNUMBER(SEARCH("High",AE1)), $AE$12/0.1, IF(ISNUMBER(SEARCH("Low",AE1)), $AE$12/0.1, "No"))</f>
        <v>No</v>
      </c>
      <c r="AF35" s="7" t="str">
        <f>IF(ISNUMBER(SEARCH("High",AF1)), $AF$12/0.1, IF(ISNUMBER(SEARCH("Low",AF1)), $AF$12/0.1, "No"))</f>
        <v>No</v>
      </c>
      <c r="AG35" s="7" t="str">
        <f>IF(ISNUMBER(SEARCH("High",AG1)), $AG$12/0.1, IF(ISNUMBER(SEARCH("Low",AG1)), $AG$12/0.1, "No"))</f>
        <v>No</v>
      </c>
      <c r="AH35" s="7" t="str">
        <f>IF(ISNUMBER(SEARCH("High",AH1)), $AH$12/0.1, IF(ISNUMBER(SEARCH("Low",AH1)), $AH$12/0.1, "No"))</f>
        <v>No</v>
      </c>
      <c r="AI35" s="7" t="str">
        <f>IF(ISNUMBER(SEARCH("High",AI1)), $AI$12/0.1, IF(ISNUMBER(SEARCH("Low",AI1)), $AI$12/0.1, "No"))</f>
        <v>No</v>
      </c>
      <c r="AJ35" s="7" t="str">
        <f>IF(ISNUMBER(SEARCH("High",AJ1)), $AJ$12/0.1, IF(ISNUMBER(SEARCH("Low",AJ1)), $AJ$12/0.1, "No"))</f>
        <v>No</v>
      </c>
      <c r="AK35" s="7" t="str">
        <f>IF(ISNUMBER(SEARCH("High",AK1)), $AK$12/0.1, IF(ISNUMBER(SEARCH("Low",AK1)), $AK$12/0.1, "No"))</f>
        <v>No</v>
      </c>
      <c r="AL35" s="7" t="str">
        <f>IF(ISNUMBER(SEARCH("High",AL1)), $AL$12/0.1, IF(ISNUMBER(SEARCH("Low",AL1)), $AL$12/0.1, "No"))</f>
        <v>No</v>
      </c>
      <c r="AM35" s="7">
        <f>IF(ISNUMBER(SEARCH("High",AM1)), $AM$12/0.1, IF(ISNUMBER(SEARCH("Low",AM1)), $AM$12/0.1, "No"))</f>
        <v>1</v>
      </c>
      <c r="AN35" s="7">
        <f>IF(ISNUMBER(SEARCH("High",AN1)), $AN$12/0.1, IF(ISNUMBER(SEARCH("Low",AN1)), $AN$12/0.1, "No"))</f>
        <v>1</v>
      </c>
      <c r="AO35" s="7" t="str">
        <f>IF(ISNUMBER(SEARCH("High",AO1)), $AO$12/0.1, IF(ISNUMBER(SEARCH("Low",AO1)), $AO$12/0.1, "No"))</f>
        <v>No</v>
      </c>
      <c r="AP35" s="7" t="str">
        <f>IF(ISNUMBER(SEARCH("High",AP1)), $AP$12/0.1, IF(ISNUMBER(SEARCH("Low",AP1)), $AP$12/0.1, "No"))</f>
        <v>No</v>
      </c>
      <c r="AQ35" s="7" t="str">
        <f>IF(ISNUMBER(SEARCH("High",AQ1)), $AQ$12/0.1, IF(ISNUMBER(SEARCH("Low",AQ1)), $AQ$12/0.1, "No"))</f>
        <v>No</v>
      </c>
      <c r="AR35" s="7" t="str">
        <f>IF(ISNUMBER(SEARCH("High",AR1)), $AR$12/0.1, IF(ISNUMBER(SEARCH("Low",AR1)), $AR$12/0.1, "No"))</f>
        <v>No</v>
      </c>
      <c r="AS35" s="7" t="str">
        <f>IF(ISNUMBER(SEARCH("High",AS1)), $AS$12/0.1, IF(ISNUMBER(SEARCH("Low",AS1)), $AS$12/0.1, "No"))</f>
        <v>No</v>
      </c>
      <c r="AT35" s="7" t="str">
        <f>IF(ISNUMBER(SEARCH("High",AT1)), $AT$12/0.1, IF(ISNUMBER(SEARCH("Low",AT1)), $AT$12/0.1, "No"))</f>
        <v>No</v>
      </c>
      <c r="AU35" s="7">
        <f>IF(ISNUMBER(SEARCH("High",AU1)), $AU$12/0.1, IF(ISNUMBER(SEARCH("Low",AU1)), $AU$12/0.1, "No"))</f>
        <v>1</v>
      </c>
      <c r="AV35" s="7">
        <f>IF(ISNUMBER(SEARCH("High",AV1)), $AV$12/0.1, IF(ISNUMBER(SEARCH("Low",AV1)), $AV$12/0.1, "No"))</f>
        <v>1</v>
      </c>
    </row>
    <row r="36" spans="1:48" x14ac:dyDescent="0.2">
      <c r="A36" t="str">
        <f>$A$13</f>
        <v>7.68</v>
      </c>
      <c r="B36" t="str">
        <f>$B$13</f>
        <v>D9-THC</v>
      </c>
      <c r="C36" t="str">
        <f>$C$13</f>
        <v>Compou
nd
Amount</v>
      </c>
      <c r="D36" s="7">
        <f>IF(ISNUMBER(SEARCH("High",D1)), $D$13/0.1, IF(ISNUMBER(SEARCH("Low",D1)), $D$13/0.025, "No"))</f>
        <v>0.95079999999999998</v>
      </c>
      <c r="E36" s="7">
        <f>IF(ISNUMBER(SEARCH("High",E1)), $E$13/0.1, IF(ISNUMBER(SEARCH("Low",E1)), $E$13/0.025, "No"))</f>
        <v>1.0908</v>
      </c>
      <c r="F36" s="7" t="str">
        <f>IF(ISNUMBER(SEARCH("High",F1)), $F$13/0.1, IF(ISNUMBER(SEARCH("Low",F1)), $F$13/0.025, "No"))</f>
        <v>No</v>
      </c>
      <c r="G36" s="7" t="str">
        <f>IF(ISNUMBER(SEARCH("High",G1)), $G$13/0.1, IF(ISNUMBER(SEARCH("Low",G1)), $G$13/0.025, "No"))</f>
        <v>No</v>
      </c>
      <c r="H36" s="7" t="str">
        <f>IF(ISNUMBER(SEARCH("High",H1)), $H$13/0.1, IF(ISNUMBER(SEARCH("Low",H1)), $H$13/0.025, "No"))</f>
        <v>No</v>
      </c>
      <c r="I36" s="7" t="str">
        <f>IF(ISNUMBER(SEARCH("High",I1)), $I$13/0.1, IF(ISNUMBER(SEARCH("Low",I1)), $I$13/0.025, "No"))</f>
        <v>No</v>
      </c>
      <c r="J36" s="7" t="str">
        <f>IF(ISNUMBER(SEARCH("High",J1)), $J$13/0.1, IF(ISNUMBER(SEARCH("Low",J1)), $J$13/0.025, "No"))</f>
        <v>No</v>
      </c>
      <c r="K36" s="7" t="str">
        <f>IF(ISNUMBER(SEARCH("High",K1)), $K$13/0.1, IF(ISNUMBER(SEARCH("Low",K1)), $K$13/0.025, "No"))</f>
        <v>No</v>
      </c>
      <c r="L36" s="7" t="str">
        <f>IF(ISNUMBER(SEARCH("High",L1)), $L$13/0.1, IF(ISNUMBER(SEARCH("Low",L1)), $L$13/0.025, "No"))</f>
        <v>No</v>
      </c>
      <c r="M36" s="7" t="str">
        <f>IF(ISNUMBER(SEARCH("High",M1)), $M$13/0.1, IF(ISNUMBER(SEARCH("Low",M1)), $M$13/0.025, "No"))</f>
        <v>No</v>
      </c>
      <c r="N36" s="7" t="str">
        <f>IF(ISNUMBER(SEARCH("High",N1)), $N$13/0.1, IF(ISNUMBER(SEARCH("Low",N1)), $N$13/0.025, "No"))</f>
        <v>No</v>
      </c>
      <c r="O36" s="7" t="str">
        <f>IF(ISNUMBER(SEARCH("High",O1)), $O$13/0.1, IF(ISNUMBER(SEARCH("Low",O1)), $O$13/0.025, "No"))</f>
        <v>No</v>
      </c>
      <c r="P36" s="7" t="str">
        <f>IF(ISNUMBER(SEARCH("High",P1)), $P$13/0.1, IF(ISNUMBER(SEARCH("Low",P1)), $P$13/0.025, "No"))</f>
        <v>No</v>
      </c>
      <c r="Q36" s="7" t="str">
        <f>IF(ISNUMBER(SEARCH("High",Q1)), $Q$13/0.1, IF(ISNUMBER(SEARCH("Low",Q1)), $Q$13/0.025, "No"))</f>
        <v>No</v>
      </c>
      <c r="R36" s="7">
        <f>IF(ISNUMBER(SEARCH("High",R1)), $R$13/0.1, IF(ISNUMBER(SEARCH("Low",R1)), $R$13/0.025, "No"))</f>
        <v>1.0751999999999999</v>
      </c>
      <c r="S36" s="7" t="str">
        <f>IF(ISNUMBER(SEARCH("High",S1)), $S$13/0.1, IF(ISNUMBER(SEARCH("Low",S1)), $S$13/0.025, "No"))</f>
        <v>No</v>
      </c>
      <c r="T36" s="7" t="str">
        <f>IF(ISNUMBER(SEARCH("High",T1)), $T$13/0.1, IF(ISNUMBER(SEARCH("Low",T1)), $T$13/0.025, "No"))</f>
        <v>No</v>
      </c>
      <c r="U36" s="7" t="str">
        <f>IF(ISNUMBER(SEARCH("High",U1)), $U$13/0.1, IF(ISNUMBER(SEARCH("Low",U1)), $U$13/0.025, "No"))</f>
        <v>No</v>
      </c>
      <c r="V36" s="7" t="str">
        <f>IF(ISNUMBER(SEARCH("High",V1)), $V$13/0.1, IF(ISNUMBER(SEARCH("Low",V1)), $V$13/0.025, "No"))</f>
        <v>No</v>
      </c>
      <c r="W36" s="7" t="str">
        <f>IF(ISNUMBER(SEARCH("High",W1)), $W$13/0.1, IF(ISNUMBER(SEARCH("Low",W1)), $W$13/0.025, "No"))</f>
        <v>No</v>
      </c>
      <c r="X36" s="7" t="str">
        <f>IF(ISNUMBER(SEARCH("High",X1)), $X$13/0.1, IF(ISNUMBER(SEARCH("Low",X1)), $X$13/0.025, "No"))</f>
        <v>No</v>
      </c>
      <c r="Y36" s="7" t="str">
        <f>IF(ISNUMBER(SEARCH("High",Y1)), $Y$13/0.1, IF(ISNUMBER(SEARCH("Low",Y1)), $Y$13/0.025, "No"))</f>
        <v>No</v>
      </c>
      <c r="Z36" s="7" t="str">
        <f>IF(ISNUMBER(SEARCH("High",Z1)), $Z$13/0.1, IF(ISNUMBER(SEARCH("Low",Z1)), $Z$13/0.025, "No"))</f>
        <v>No</v>
      </c>
      <c r="AA36" s="7">
        <f>IF(ISNUMBER(SEARCH("High",AA1)), $AA$13/0.1, IF(ISNUMBER(SEARCH("Low",AA1)), $AA$13/0.025, "No"))</f>
        <v>0.92549999999999988</v>
      </c>
      <c r="AB36" s="7">
        <f>IF(ISNUMBER(SEARCH("High",AB1)), $AB$13/0.1, IF(ISNUMBER(SEARCH("Low",AB1)), $AB$13/0.025, "No"))</f>
        <v>1.0675999999999999</v>
      </c>
      <c r="AC36" s="7" t="str">
        <f>IF(ISNUMBER(SEARCH("High",AC1)), $AC$13/0.1, IF(ISNUMBER(SEARCH("Low",AC1)), $AC$13/0.025, "No"))</f>
        <v>No</v>
      </c>
      <c r="AD36" s="7" t="str">
        <f>IF(ISNUMBER(SEARCH("High",AD1)), $AD$13/0.1, IF(ISNUMBER(SEARCH("Low",AD1)), $AD$13/0.025, "No"))</f>
        <v>No</v>
      </c>
      <c r="AE36" s="7" t="str">
        <f>IF(ISNUMBER(SEARCH("High",AE1)), $AE$13/0.1, IF(ISNUMBER(SEARCH("Low",AE1)), $AE$13/0.025, "No"))</f>
        <v>No</v>
      </c>
      <c r="AF36" s="7" t="str">
        <f>IF(ISNUMBER(SEARCH("High",AF1)), $AF$13/0.1, IF(ISNUMBER(SEARCH("Low",AF1)), $AF$13/0.025, "No"))</f>
        <v>No</v>
      </c>
      <c r="AG36" s="7" t="str">
        <f>IF(ISNUMBER(SEARCH("High",AG1)), $AG$13/0.1, IF(ISNUMBER(SEARCH("Low",AG1)), $AG$13/0.025, "No"))</f>
        <v>No</v>
      </c>
      <c r="AH36" s="7" t="str">
        <f>IF(ISNUMBER(SEARCH("High",AH1)), $AH$13/0.1, IF(ISNUMBER(SEARCH("Low",AH1)), $AH$13/0.025, "No"))</f>
        <v>No</v>
      </c>
      <c r="AI36" s="7" t="str">
        <f>IF(ISNUMBER(SEARCH("High",AI1)), $AI$13/0.1, IF(ISNUMBER(SEARCH("Low",AI1)), $AI$13/0.025, "No"))</f>
        <v>No</v>
      </c>
      <c r="AJ36" s="7" t="str">
        <f>IF(ISNUMBER(SEARCH("High",AJ1)), $AJ$13/0.1, IF(ISNUMBER(SEARCH("Low",AJ1)), $AJ$13/0.025, "No"))</f>
        <v>No</v>
      </c>
      <c r="AK36" s="7" t="str">
        <f>IF(ISNUMBER(SEARCH("High",AK1)), $AK$13/0.1, IF(ISNUMBER(SEARCH("Low",AK1)), $AK$13/0.025, "No"))</f>
        <v>No</v>
      </c>
      <c r="AL36" s="7" t="str">
        <f>IF(ISNUMBER(SEARCH("High",AL1)), $AL$13/0.1, IF(ISNUMBER(SEARCH("Low",AL1)), $AL$13/0.025, "No"))</f>
        <v>No</v>
      </c>
      <c r="AM36" s="7">
        <f>IF(ISNUMBER(SEARCH("High",AM1)), $AM$13/0.1, IF(ISNUMBER(SEARCH("Low",AM1)), $AM$13/0.025, "No"))</f>
        <v>0.9121999999999999</v>
      </c>
      <c r="AN36" s="7">
        <f>IF(ISNUMBER(SEARCH("High",AN1)), $AN$13/0.1, IF(ISNUMBER(SEARCH("Low",AN1)), $AN$13/0.025, "No"))</f>
        <v>1.0644</v>
      </c>
      <c r="AO36" s="7" t="str">
        <f>IF(ISNUMBER(SEARCH("High",AO1)), $AO$13/0.1, IF(ISNUMBER(SEARCH("Low",AO1)), $AO$13/0.025, "No"))</f>
        <v>No</v>
      </c>
      <c r="AP36" s="7" t="str">
        <f>IF(ISNUMBER(SEARCH("High",AP1)), $AP$13/0.1, IF(ISNUMBER(SEARCH("Low",AP1)), $AP$13/0.025, "No"))</f>
        <v>No</v>
      </c>
      <c r="AQ36" s="7" t="str">
        <f>IF(ISNUMBER(SEARCH("High",AQ1)), $AQ$13/0.1, IF(ISNUMBER(SEARCH("Low",AQ1)), $AQ$13/0.025, "No"))</f>
        <v>No</v>
      </c>
      <c r="AR36" s="7" t="str">
        <f>IF(ISNUMBER(SEARCH("High",AR1)), $AR$13/0.1, IF(ISNUMBER(SEARCH("Low",AR1)), $AR$13/0.025, "No"))</f>
        <v>No</v>
      </c>
      <c r="AS36" s="7" t="str">
        <f>IF(ISNUMBER(SEARCH("High",AS1)), $AS$13/0.1, IF(ISNUMBER(SEARCH("Low",AS1)), $AS$13/0.025, "No"))</f>
        <v>No</v>
      </c>
      <c r="AT36" s="7" t="str">
        <f>IF(ISNUMBER(SEARCH("High",AT1)), $AT$13/0.1, IF(ISNUMBER(SEARCH("Low",AT1)), $AT$13/0.025, "No"))</f>
        <v>No</v>
      </c>
      <c r="AU36" s="7">
        <f>IF(ISNUMBER(SEARCH("High",AU1)), $AU$13/0.1, IF(ISNUMBER(SEARCH("Low",AU1)), $AU$13/0.025, "No"))</f>
        <v>0.91169999999999995</v>
      </c>
      <c r="AV36" s="7">
        <f>IF(ISNUMBER(SEARCH("High",AV1)), $AV$13/0.1, IF(ISNUMBER(SEARCH("Low",AV1)), $AV$13/0.025, "No"))</f>
        <v>1.0635999999999999</v>
      </c>
    </row>
    <row r="37" spans="1:48" x14ac:dyDescent="0.2">
      <c r="A37" t="str">
        <f>$A$14</f>
        <v>7.95</v>
      </c>
      <c r="B37" t="str">
        <f>$B$14</f>
        <v>D8-THC</v>
      </c>
      <c r="C37" t="str">
        <f>$C$14</f>
        <v>Compou
nd
Amount</v>
      </c>
      <c r="D37" s="7">
        <f>IF(ISNUMBER(SEARCH("High",D1)), $D$14/0.1, IF(ISNUMBER(SEARCH("Low",D1)), $D$14/0.025, "No"))</f>
        <v>7.3949999999999997E-3</v>
      </c>
      <c r="E37" s="7">
        <f>IF(ISNUMBER(SEARCH("High",E1)), $E$14/0.1, IF(ISNUMBER(SEARCH("Low",E1)), $E$14/0.025, "No"))</f>
        <v>1.1003999999999998</v>
      </c>
      <c r="F37" s="7" t="str">
        <f>IF(ISNUMBER(SEARCH("High",F1)), $F$14/0.1, IF(ISNUMBER(SEARCH("Low",F1)), $F$14/0.025, "No"))</f>
        <v>No</v>
      </c>
      <c r="G37" s="7" t="str">
        <f>IF(ISNUMBER(SEARCH("High",G1)), $G$14/0.1, IF(ISNUMBER(SEARCH("Low",G1)), $G$14/0.025, "No"))</f>
        <v>No</v>
      </c>
      <c r="H37" s="7" t="str">
        <f>IF(ISNUMBER(SEARCH("High",H1)), $H$14/0.1, IF(ISNUMBER(SEARCH("Low",H1)), $H$14/0.025, "No"))</f>
        <v>No</v>
      </c>
      <c r="I37" s="7" t="str">
        <f>IF(ISNUMBER(SEARCH("High",I1)), $I$14/0.1, IF(ISNUMBER(SEARCH("Low",I1)), $I$14/0.025, "No"))</f>
        <v>No</v>
      </c>
      <c r="J37" s="7" t="str">
        <f>IF(ISNUMBER(SEARCH("High",J1)), $J$14/0.1, IF(ISNUMBER(SEARCH("Low",J1)), $J$14/0.025, "No"))</f>
        <v>No</v>
      </c>
      <c r="K37" s="7" t="str">
        <f>IF(ISNUMBER(SEARCH("High",K1)), $K$14/0.1, IF(ISNUMBER(SEARCH("Low",K1)), $K$14/0.025, "No"))</f>
        <v>No</v>
      </c>
      <c r="L37" s="7" t="str">
        <f>IF(ISNUMBER(SEARCH("High",L1)), $L$14/0.1, IF(ISNUMBER(SEARCH("Low",L1)), $L$14/0.025, "No"))</f>
        <v>No</v>
      </c>
      <c r="M37" s="7" t="str">
        <f>IF(ISNUMBER(SEARCH("High",M1)), $M$14/0.1, IF(ISNUMBER(SEARCH("Low",M1)), $M$14/0.025, "No"))</f>
        <v>No</v>
      </c>
      <c r="N37" s="7" t="str">
        <f>IF(ISNUMBER(SEARCH("High",N1)), $N$14/0.1, IF(ISNUMBER(SEARCH("Low",N1)), $N$14/0.025, "No"))</f>
        <v>No</v>
      </c>
      <c r="O37" s="7" t="str">
        <f>IF(ISNUMBER(SEARCH("High",O1)), $O$14/0.1, IF(ISNUMBER(SEARCH("Low",O1)), $O$14/0.025, "No"))</f>
        <v>No</v>
      </c>
      <c r="P37" s="7" t="str">
        <f>IF(ISNUMBER(SEARCH("High",P1)), $P$14/0.1, IF(ISNUMBER(SEARCH("Low",P1)), $P$14/0.025, "No"))</f>
        <v>No</v>
      </c>
      <c r="Q37" s="7" t="str">
        <f>IF(ISNUMBER(SEARCH("High",Q1)), $Q$14/0.1, IF(ISNUMBER(SEARCH("Low",Q1)), $Q$14/0.025, "No"))</f>
        <v>No</v>
      </c>
      <c r="R37" s="7">
        <f>IF(ISNUMBER(SEARCH("High",R1)), $R$14/0.1, IF(ISNUMBER(SEARCH("Low",R1)), $R$14/0.025, "No"))</f>
        <v>1.0820000000000001</v>
      </c>
      <c r="S37" s="7" t="str">
        <f>IF(ISNUMBER(SEARCH("High",S1)), $S$14/0.1, IF(ISNUMBER(SEARCH("Low",S1)), $S$14/0.025, "No"))</f>
        <v>No</v>
      </c>
      <c r="T37" s="7" t="str">
        <f>IF(ISNUMBER(SEARCH("High",T1)), $T$14/0.1, IF(ISNUMBER(SEARCH("Low",T1)), $T$14/0.025, "No"))</f>
        <v>No</v>
      </c>
      <c r="U37" s="7" t="str">
        <f>IF(ISNUMBER(SEARCH("High",U1)), $U$14/0.1, IF(ISNUMBER(SEARCH("Low",U1)), $U$14/0.025, "No"))</f>
        <v>No</v>
      </c>
      <c r="V37" s="7" t="str">
        <f>IF(ISNUMBER(SEARCH("High",V1)), $V$14/0.1, IF(ISNUMBER(SEARCH("Low",V1)), $V$14/0.025, "No"))</f>
        <v>No</v>
      </c>
      <c r="W37" s="7" t="str">
        <f>IF(ISNUMBER(SEARCH("High",W1)), $W$14/0.1, IF(ISNUMBER(SEARCH("Low",W1)), $W$14/0.025, "No"))</f>
        <v>No</v>
      </c>
      <c r="X37" s="7" t="str">
        <f>IF(ISNUMBER(SEARCH("High",X1)), $X$14/0.1, IF(ISNUMBER(SEARCH("Low",X1)), $X$14/0.025, "No"))</f>
        <v>No</v>
      </c>
      <c r="Y37" s="7" t="str">
        <f>IF(ISNUMBER(SEARCH("High",Y1)), $Y$14/0.1, IF(ISNUMBER(SEARCH("Low",Y1)), $Y$14/0.025, "No"))</f>
        <v>No</v>
      </c>
      <c r="Z37" s="7" t="str">
        <f>IF(ISNUMBER(SEARCH("High",Z1)), $Z$14/0.1, IF(ISNUMBER(SEARCH("Low",Z1)), $Z$14/0.025, "No"))</f>
        <v>No</v>
      </c>
      <c r="AA37" s="7">
        <f>IF(ISNUMBER(SEARCH("High",AA1)), $AA$14/0.1, IF(ISNUMBER(SEARCH("Low",AA1)), $AA$14/0.025, "No"))</f>
        <v>6.8179999999999994E-3</v>
      </c>
      <c r="AB37" s="7">
        <f>IF(ISNUMBER(SEARCH("High",AB1)), $AB$14/0.1, IF(ISNUMBER(SEARCH("Low",AB1)), $AB$14/0.025, "No"))</f>
        <v>1.0743999999999998</v>
      </c>
      <c r="AC37" s="7" t="str">
        <f>IF(ISNUMBER(SEARCH("High",AC1)), $AC$14/0.1, IF(ISNUMBER(SEARCH("Low",AC1)), $AC$14/0.025, "No"))</f>
        <v>No</v>
      </c>
      <c r="AD37" s="7" t="str">
        <f>IF(ISNUMBER(SEARCH("High",AD1)), $AD$14/0.1, IF(ISNUMBER(SEARCH("Low",AD1)), $AD$14/0.025, "No"))</f>
        <v>No</v>
      </c>
      <c r="AE37" s="7" t="str">
        <f>IF(ISNUMBER(SEARCH("High",AE1)), $AE$14/0.1, IF(ISNUMBER(SEARCH("Low",AE1)), $AE$14/0.025, "No"))</f>
        <v>No</v>
      </c>
      <c r="AF37" s="7" t="str">
        <f>IF(ISNUMBER(SEARCH("High",AF1)), $AF$14/0.1, IF(ISNUMBER(SEARCH("Low",AF1)), $AF$14/0.025, "No"))</f>
        <v>No</v>
      </c>
      <c r="AG37" s="7" t="str">
        <f>IF(ISNUMBER(SEARCH("High",AG1)), $AG$14/0.1, IF(ISNUMBER(SEARCH("Low",AG1)), $AG$14/0.025, "No"))</f>
        <v>No</v>
      </c>
      <c r="AH37" s="7" t="str">
        <f>IF(ISNUMBER(SEARCH("High",AH1)), $AH$14/0.1, IF(ISNUMBER(SEARCH("Low",AH1)), $AH$14/0.025, "No"))</f>
        <v>No</v>
      </c>
      <c r="AI37" s="7" t="str">
        <f>IF(ISNUMBER(SEARCH("High",AI1)), $AI$14/0.1, IF(ISNUMBER(SEARCH("Low",AI1)), $AI$14/0.025, "No"))</f>
        <v>No</v>
      </c>
      <c r="AJ37" s="7" t="str">
        <f>IF(ISNUMBER(SEARCH("High",AJ1)), $AJ$14/0.1, IF(ISNUMBER(SEARCH("Low",AJ1)), $AJ$14/0.025, "No"))</f>
        <v>No</v>
      </c>
      <c r="AK37" s="7" t="str">
        <f>IF(ISNUMBER(SEARCH("High",AK1)), $AK$14/0.1, IF(ISNUMBER(SEARCH("Low",AK1)), $AK$14/0.025, "No"))</f>
        <v>No</v>
      </c>
      <c r="AL37" s="7" t="str">
        <f>IF(ISNUMBER(SEARCH("High",AL1)), $AL$14/0.1, IF(ISNUMBER(SEARCH("Low",AL1)), $AL$14/0.025, "No"))</f>
        <v>No</v>
      </c>
      <c r="AM37" s="7">
        <f>IF(ISNUMBER(SEARCH("High",AM1)), $AM$14/0.1, IF(ISNUMBER(SEARCH("Low",AM1)), $AM$14/0.025, "No"))</f>
        <v>6.5680000000000001E-3</v>
      </c>
      <c r="AN37" s="7">
        <f>IF(ISNUMBER(SEARCH("High",AN1)), $AN$14/0.1, IF(ISNUMBER(SEARCH("Low",AN1)), $AN$14/0.025, "No"))</f>
        <v>1.0699999999999998</v>
      </c>
      <c r="AO37" s="7" t="str">
        <f>IF(ISNUMBER(SEARCH("High",AO1)), $AO$14/0.1, IF(ISNUMBER(SEARCH("Low",AO1)), $AO$14/0.025, "No"))</f>
        <v>No</v>
      </c>
      <c r="AP37" s="7" t="str">
        <f>IF(ISNUMBER(SEARCH("High",AP1)), $AP$14/0.1, IF(ISNUMBER(SEARCH("Low",AP1)), $AP$14/0.025, "No"))</f>
        <v>No</v>
      </c>
      <c r="AQ37" s="7" t="str">
        <f>IF(ISNUMBER(SEARCH("High",AQ1)), $AQ$14/0.1, IF(ISNUMBER(SEARCH("Low",AQ1)), $AQ$14/0.025, "No"))</f>
        <v>No</v>
      </c>
      <c r="AR37" s="7" t="str">
        <f>IF(ISNUMBER(SEARCH("High",AR1)), $AR$14/0.1, IF(ISNUMBER(SEARCH("Low",AR1)), $AR$14/0.025, "No"))</f>
        <v>No</v>
      </c>
      <c r="AS37" s="7" t="str">
        <f>IF(ISNUMBER(SEARCH("High",AS1)), $AS$14/0.1, IF(ISNUMBER(SEARCH("Low",AS1)), $AS$14/0.025, "No"))</f>
        <v>No</v>
      </c>
      <c r="AT37" s="7" t="str">
        <f>IF(ISNUMBER(SEARCH("High",AT1)), $AT$14/0.1, IF(ISNUMBER(SEARCH("Low",AT1)), $AT$14/0.025, "No"))</f>
        <v>No</v>
      </c>
      <c r="AU37" s="7">
        <f>IF(ISNUMBER(SEARCH("High",AU1)), $AU$14/0.1, IF(ISNUMBER(SEARCH("Low",AU1)), $AU$14/0.025, "No"))</f>
        <v>6.5929999999999999E-3</v>
      </c>
      <c r="AV37" s="7">
        <f>IF(ISNUMBER(SEARCH("High",AV1)), $AV$14/0.1, IF(ISNUMBER(SEARCH("Low",AV1)), $AV$14/0.025, "No"))</f>
        <v>1.0695999999999999</v>
      </c>
    </row>
    <row r="38" spans="1:48" x14ac:dyDescent="0.2">
      <c r="A38" t="str">
        <f>$A$15</f>
        <v>8.75</v>
      </c>
      <c r="B38" t="str">
        <f>$B$15</f>
        <v>CBL</v>
      </c>
      <c r="C38" t="str">
        <f>$C$15</f>
        <v>Compou
nd
Amount</v>
      </c>
      <c r="D38" s="7">
        <f>IF(ISNUMBER(SEARCH("High",D1)), $D$15/0.1, IF(ISNUMBER(SEARCH("Low",D1)), $D$15/0.025, "No"))</f>
        <v>0</v>
      </c>
      <c r="E38" s="7">
        <f>IF(ISNUMBER(SEARCH("High",E1)), $E$15/0.1, IF(ISNUMBER(SEARCH("Low",E1)), $E$15/0.025, "No"))</f>
        <v>0.91759999999999986</v>
      </c>
      <c r="F38" s="7" t="str">
        <f>IF(ISNUMBER(SEARCH("High",F1)), $F$15/0.1, IF(ISNUMBER(SEARCH("Low",F1)), $F$15/0.025, "No"))</f>
        <v>No</v>
      </c>
      <c r="G38" s="7" t="str">
        <f>IF(ISNUMBER(SEARCH("High",G1)), $G$15/0.1, IF(ISNUMBER(SEARCH("Low",G1)), $G$15/0.025, "No"))</f>
        <v>No</v>
      </c>
      <c r="H38" s="7" t="str">
        <f>IF(ISNUMBER(SEARCH("High",H1)), $H$15/0.1, IF(ISNUMBER(SEARCH("Low",H1)), $H$15/0.025, "No"))</f>
        <v>No</v>
      </c>
      <c r="I38" s="7" t="str">
        <f>IF(ISNUMBER(SEARCH("High",I1)), $I$15/0.1, IF(ISNUMBER(SEARCH("Low",I1)), $I$15/0.025, "No"))</f>
        <v>No</v>
      </c>
      <c r="J38" s="7" t="str">
        <f>IF(ISNUMBER(SEARCH("High",J1)), $J$15/0.1, IF(ISNUMBER(SEARCH("Low",J1)), $J$15/0.025, "No"))</f>
        <v>No</v>
      </c>
      <c r="K38" s="7" t="str">
        <f>IF(ISNUMBER(SEARCH("High",K1)), $K$15/0.1, IF(ISNUMBER(SEARCH("Low",K1)), $K$15/0.025, "No"))</f>
        <v>No</v>
      </c>
      <c r="L38" s="7" t="str">
        <f>IF(ISNUMBER(SEARCH("High",L1)), $L$15/0.1, IF(ISNUMBER(SEARCH("Low",L1)), $L$15/0.025, "No"))</f>
        <v>No</v>
      </c>
      <c r="M38" s="7" t="str">
        <f>IF(ISNUMBER(SEARCH("High",M1)), $M$15/0.1, IF(ISNUMBER(SEARCH("Low",M1)), $M$15/0.025, "No"))</f>
        <v>No</v>
      </c>
      <c r="N38" s="7" t="str">
        <f>IF(ISNUMBER(SEARCH("High",N1)), $N$15/0.1, IF(ISNUMBER(SEARCH("Low",N1)), $N$15/0.025, "No"))</f>
        <v>No</v>
      </c>
      <c r="O38" s="7" t="str">
        <f>IF(ISNUMBER(SEARCH("High",O1)), $O$15/0.1, IF(ISNUMBER(SEARCH("Low",O1)), $O$15/0.025, "No"))</f>
        <v>No</v>
      </c>
      <c r="P38" s="7" t="str">
        <f>IF(ISNUMBER(SEARCH("High",P1)), $P$15/0.1, IF(ISNUMBER(SEARCH("Low",P1)), $P$15/0.025, "No"))</f>
        <v>No</v>
      </c>
      <c r="Q38" s="7" t="str">
        <f>IF(ISNUMBER(SEARCH("High",Q1)), $Q$15/0.1, IF(ISNUMBER(SEARCH("Low",Q1)), $Q$15/0.025, "No"))</f>
        <v>No</v>
      </c>
      <c r="R38" s="7">
        <f>IF(ISNUMBER(SEARCH("High",R1)), $R$15/0.1, IF(ISNUMBER(SEARCH("Low",R1)), $R$15/0.025, "No"))</f>
        <v>0.8992</v>
      </c>
      <c r="S38" s="7" t="str">
        <f>IF(ISNUMBER(SEARCH("High",S1)), $S$15/0.1, IF(ISNUMBER(SEARCH("Low",S1)), $S$15/0.025, "No"))</f>
        <v>No</v>
      </c>
      <c r="T38" s="7" t="str">
        <f>IF(ISNUMBER(SEARCH("High",T1)), $T$15/0.1, IF(ISNUMBER(SEARCH("Low",T1)), $T$15/0.025, "No"))</f>
        <v>No</v>
      </c>
      <c r="U38" s="7" t="str">
        <f>IF(ISNUMBER(SEARCH("High",U1)), $U$15/0.1, IF(ISNUMBER(SEARCH("Low",U1)), $U$15/0.025, "No"))</f>
        <v>No</v>
      </c>
      <c r="V38" s="7" t="str">
        <f>IF(ISNUMBER(SEARCH("High",V1)), $V$15/0.1, IF(ISNUMBER(SEARCH("Low",V1)), $V$15/0.025, "No"))</f>
        <v>No</v>
      </c>
      <c r="W38" s="7" t="str">
        <f>IF(ISNUMBER(SEARCH("High",W1)), $W$15/0.1, IF(ISNUMBER(SEARCH("Low",W1)), $W$15/0.025, "No"))</f>
        <v>No</v>
      </c>
      <c r="X38" s="7" t="str">
        <f>IF(ISNUMBER(SEARCH("High",X1)), $X$15/0.1, IF(ISNUMBER(SEARCH("Low",X1)), $X$15/0.025, "No"))</f>
        <v>No</v>
      </c>
      <c r="Y38" s="7" t="str">
        <f>IF(ISNUMBER(SEARCH("High",Y1)), $Y$15/0.1, IF(ISNUMBER(SEARCH("Low",Y1)), $Y$15/0.025, "No"))</f>
        <v>No</v>
      </c>
      <c r="Z38" s="7" t="str">
        <f>IF(ISNUMBER(SEARCH("High",Z1)), $Z$15/0.1, IF(ISNUMBER(SEARCH("Low",Z1)), $Z$15/0.025, "No"))</f>
        <v>No</v>
      </c>
      <c r="AA38" s="7">
        <f>IF(ISNUMBER(SEARCH("High",AA1)), $AA$15/0.1, IF(ISNUMBER(SEARCH("Low",AA1)), $AA$15/0.025, "No"))</f>
        <v>0</v>
      </c>
      <c r="AB38" s="7">
        <f>IF(ISNUMBER(SEARCH("High",AB1)), $AB$15/0.1, IF(ISNUMBER(SEARCH("Low",AB1)), $AB$15/0.025, "No"))</f>
        <v>0.88919999999999999</v>
      </c>
      <c r="AC38" s="7" t="str">
        <f>IF(ISNUMBER(SEARCH("High",AC1)), $AC$15/0.1, IF(ISNUMBER(SEARCH("Low",AC1)), $AC$15/0.025, "No"))</f>
        <v>No</v>
      </c>
      <c r="AD38" s="7" t="str">
        <f>IF(ISNUMBER(SEARCH("High",AD1)), $AD$15/0.1, IF(ISNUMBER(SEARCH("Low",AD1)), $AD$15/0.025, "No"))</f>
        <v>No</v>
      </c>
      <c r="AE38" s="7" t="str">
        <f>IF(ISNUMBER(SEARCH("High",AE1)), $AE$15/0.1, IF(ISNUMBER(SEARCH("Low",AE1)), $AE$15/0.025, "No"))</f>
        <v>No</v>
      </c>
      <c r="AF38" s="7" t="str">
        <f>IF(ISNUMBER(SEARCH("High",AF1)), $AF$15/0.1, IF(ISNUMBER(SEARCH("Low",AF1)), $AF$15/0.025, "No"))</f>
        <v>No</v>
      </c>
      <c r="AG38" s="7" t="str">
        <f>IF(ISNUMBER(SEARCH("High",AG1)), $AG$15/0.1, IF(ISNUMBER(SEARCH("Low",AG1)), $AG$15/0.025, "No"))</f>
        <v>No</v>
      </c>
      <c r="AH38" s="7" t="str">
        <f>IF(ISNUMBER(SEARCH("High",AH1)), $AH$15/0.1, IF(ISNUMBER(SEARCH("Low",AH1)), $AH$15/0.025, "No"))</f>
        <v>No</v>
      </c>
      <c r="AI38" s="7" t="str">
        <f>IF(ISNUMBER(SEARCH("High",AI1)), $AI$15/0.1, IF(ISNUMBER(SEARCH("Low",AI1)), $AI$15/0.025, "No"))</f>
        <v>No</v>
      </c>
      <c r="AJ38" s="7" t="str">
        <f>IF(ISNUMBER(SEARCH("High",AJ1)), $AJ$15/0.1, IF(ISNUMBER(SEARCH("Low",AJ1)), $AJ$15/0.025, "No"))</f>
        <v>No</v>
      </c>
      <c r="AK38" s="7" t="str">
        <f>IF(ISNUMBER(SEARCH("High",AK1)), $AK$15/0.1, IF(ISNUMBER(SEARCH("Low",AK1)), $AK$15/0.025, "No"))</f>
        <v>No</v>
      </c>
      <c r="AL38" s="7" t="str">
        <f>IF(ISNUMBER(SEARCH("High",AL1)), $AL$15/0.1, IF(ISNUMBER(SEARCH("Low",AL1)), $AL$15/0.025, "No"))</f>
        <v>No</v>
      </c>
      <c r="AM38" s="7">
        <f>IF(ISNUMBER(SEARCH("High",AM1)), $AM$15/0.1, IF(ISNUMBER(SEARCH("Low",AM1)), $AM$15/0.025, "No"))</f>
        <v>0</v>
      </c>
      <c r="AN38" s="7">
        <f>IF(ISNUMBER(SEARCH("High",AN1)), $AN$15/0.1, IF(ISNUMBER(SEARCH("Low",AN1)), $AN$15/0.025, "No"))</f>
        <v>0.88719999999999988</v>
      </c>
      <c r="AO38" s="7" t="str">
        <f>IF(ISNUMBER(SEARCH("High",AO1)), $AO$15/0.1, IF(ISNUMBER(SEARCH("Low",AO1)), $AO$15/0.025, "No"))</f>
        <v>No</v>
      </c>
      <c r="AP38" s="7" t="str">
        <f>IF(ISNUMBER(SEARCH("High",AP1)), $AP$15/0.1, IF(ISNUMBER(SEARCH("Low",AP1)), $AP$15/0.025, "No"))</f>
        <v>No</v>
      </c>
      <c r="AQ38" s="7" t="str">
        <f>IF(ISNUMBER(SEARCH("High",AQ1)), $AQ$15/0.1, IF(ISNUMBER(SEARCH("Low",AQ1)), $AQ$15/0.025, "No"))</f>
        <v>No</v>
      </c>
      <c r="AR38" s="7" t="str">
        <f>IF(ISNUMBER(SEARCH("High",AR1)), $AR$15/0.1, IF(ISNUMBER(SEARCH("Low",AR1)), $AR$15/0.025, "No"))</f>
        <v>No</v>
      </c>
      <c r="AS38" s="7" t="str">
        <f>IF(ISNUMBER(SEARCH("High",AS1)), $AS$15/0.1, IF(ISNUMBER(SEARCH("Low",AS1)), $AS$15/0.025, "No"))</f>
        <v>No</v>
      </c>
      <c r="AT38" s="7" t="str">
        <f>IF(ISNUMBER(SEARCH("High",AT1)), $AT$15/0.1, IF(ISNUMBER(SEARCH("Low",AT1)), $AT$15/0.025, "No"))</f>
        <v>No</v>
      </c>
      <c r="AU38" s="7">
        <f>IF(ISNUMBER(SEARCH("High",AU1)), $AU$15/0.1, IF(ISNUMBER(SEARCH("Low",AU1)), $AU$15/0.025, "No"))</f>
        <v>0</v>
      </c>
      <c r="AV38" s="7">
        <f>IF(ISNUMBER(SEARCH("High",AV1)), $AV$15/0.1, IF(ISNUMBER(SEARCH("Low",AV1)), $AV$15/0.025, "No"))</f>
        <v>0.88639999999999997</v>
      </c>
    </row>
    <row r="39" spans="1:48" x14ac:dyDescent="0.2">
      <c r="A39" t="str">
        <f>$A$16</f>
        <v>9.00</v>
      </c>
      <c r="B39" t="str">
        <f>$B$16</f>
        <v>THCA</v>
      </c>
      <c r="C39" t="str">
        <f>$C$16</f>
        <v>Compou
nd
Amount</v>
      </c>
      <c r="D39" s="7">
        <f>IF(ISNUMBER(SEARCH("High",D1)), $D$16/0.1, IF(ISNUMBER(SEARCH("Low",D1)), $D$16/0.025, "No"))</f>
        <v>0.90959999999999996</v>
      </c>
      <c r="E39" s="7">
        <f>IF(ISNUMBER(SEARCH("High",E1)), $E$16/0.1, IF(ISNUMBER(SEARCH("Low",E1)), $E$16/0.025, "No"))</f>
        <v>1.1239999999999999</v>
      </c>
      <c r="F39" s="7" t="str">
        <f>IF(ISNUMBER(SEARCH("High",F1)), $F$16/0.1, IF(ISNUMBER(SEARCH("Low",F1)), $F$16/0.025, "No"))</f>
        <v>No</v>
      </c>
      <c r="G39" s="7" t="str">
        <f>IF(ISNUMBER(SEARCH("High",G1)), $G$16/0.1, IF(ISNUMBER(SEARCH("Low",G1)), $G$16/0.025, "No"))</f>
        <v>No</v>
      </c>
      <c r="H39" s="7" t="str">
        <f>IF(ISNUMBER(SEARCH("High",H1)), $H$16/0.1, IF(ISNUMBER(SEARCH("Low",H1)), $H$16/0.025, "No"))</f>
        <v>No</v>
      </c>
      <c r="I39" s="7" t="str">
        <f>IF(ISNUMBER(SEARCH("High",I1)), $I$16/0.1, IF(ISNUMBER(SEARCH("Low",I1)), $I$16/0.025, "No"))</f>
        <v>No</v>
      </c>
      <c r="J39" s="7" t="str">
        <f>IF(ISNUMBER(SEARCH("High",J1)), $J$16/0.1, IF(ISNUMBER(SEARCH("Low",J1)), $J$16/0.025, "No"))</f>
        <v>No</v>
      </c>
      <c r="K39" s="7" t="str">
        <f>IF(ISNUMBER(SEARCH("High",K1)), $K$16/0.1, IF(ISNUMBER(SEARCH("Low",K1)), $K$16/0.025, "No"))</f>
        <v>No</v>
      </c>
      <c r="L39" s="7" t="str">
        <f>IF(ISNUMBER(SEARCH("High",L1)), $L$16/0.1, IF(ISNUMBER(SEARCH("Low",L1)), $L$16/0.025, "No"))</f>
        <v>No</v>
      </c>
      <c r="M39" s="7" t="str">
        <f>IF(ISNUMBER(SEARCH("High",M1)), $M$16/0.1, IF(ISNUMBER(SEARCH("Low",M1)), $M$16/0.025, "No"))</f>
        <v>No</v>
      </c>
      <c r="N39" s="7" t="str">
        <f>IF(ISNUMBER(SEARCH("High",N1)), $N$16/0.1, IF(ISNUMBER(SEARCH("Low",N1)), $N$16/0.025, "No"))</f>
        <v>No</v>
      </c>
      <c r="O39" s="7" t="str">
        <f>IF(ISNUMBER(SEARCH("High",O1)), $O$16/0.1, IF(ISNUMBER(SEARCH("Low",O1)), $O$16/0.025, "No"))</f>
        <v>No</v>
      </c>
      <c r="P39" s="7" t="str">
        <f>IF(ISNUMBER(SEARCH("High",P1)), $P$16/0.1, IF(ISNUMBER(SEARCH("Low",P1)), $P$16/0.025, "No"))</f>
        <v>No</v>
      </c>
      <c r="Q39" s="7" t="str">
        <f>IF(ISNUMBER(SEARCH("High",Q1)), $Q$16/0.1, IF(ISNUMBER(SEARCH("Low",Q1)), $Q$16/0.025, "No"))</f>
        <v>No</v>
      </c>
      <c r="R39" s="7">
        <f>IF(ISNUMBER(SEARCH("High",R1)), $R$16/0.1, IF(ISNUMBER(SEARCH("Low",R1)), $R$16/0.025, "No"))</f>
        <v>1.1020000000000001</v>
      </c>
      <c r="S39" s="7" t="str">
        <f>IF(ISNUMBER(SEARCH("High",S1)), $S$16/0.1, IF(ISNUMBER(SEARCH("Low",S1)), $S$16/0.025, "No"))</f>
        <v>No</v>
      </c>
      <c r="T39" s="7" t="str">
        <f>IF(ISNUMBER(SEARCH("High",T1)), $T$16/0.1, IF(ISNUMBER(SEARCH("Low",T1)), $T$16/0.025, "No"))</f>
        <v>No</v>
      </c>
      <c r="U39" s="7" t="str">
        <f>IF(ISNUMBER(SEARCH("High",U1)), $U$16/0.1, IF(ISNUMBER(SEARCH("Low",U1)), $U$16/0.025, "No"))</f>
        <v>No</v>
      </c>
      <c r="V39" s="7" t="str">
        <f>IF(ISNUMBER(SEARCH("High",V1)), $V$16/0.1, IF(ISNUMBER(SEARCH("Low",V1)), $V$16/0.025, "No"))</f>
        <v>No</v>
      </c>
      <c r="W39" s="7" t="str">
        <f>IF(ISNUMBER(SEARCH("High",W1)), $W$16/0.1, IF(ISNUMBER(SEARCH("Low",W1)), $W$16/0.025, "No"))</f>
        <v>No</v>
      </c>
      <c r="X39" s="7" t="str">
        <f>IF(ISNUMBER(SEARCH("High",X1)), $X$16/0.1, IF(ISNUMBER(SEARCH("Low",X1)), $X$16/0.025, "No"))</f>
        <v>No</v>
      </c>
      <c r="Y39" s="7" t="str">
        <f>IF(ISNUMBER(SEARCH("High",Y1)), $Y$16/0.1, IF(ISNUMBER(SEARCH("Low",Y1)), $Y$16/0.025, "No"))</f>
        <v>No</v>
      </c>
      <c r="Z39" s="7" t="str">
        <f>IF(ISNUMBER(SEARCH("High",Z1)), $Z$16/0.1, IF(ISNUMBER(SEARCH("Low",Z1)), $Z$16/0.025, "No"))</f>
        <v>No</v>
      </c>
      <c r="AA39" s="7">
        <f>IF(ISNUMBER(SEARCH("High",AA1)), $AA$16/0.1, IF(ISNUMBER(SEARCH("Low",AA1)), $AA$16/0.025, "No"))</f>
        <v>0.90179999999999993</v>
      </c>
      <c r="AB39" s="7">
        <f>IF(ISNUMBER(SEARCH("High",AB1)), $AB$16/0.1, IF(ISNUMBER(SEARCH("Low",AB1)), $AB$16/0.025, "No"))</f>
        <v>1.0835999999999999</v>
      </c>
      <c r="AC39" s="7" t="str">
        <f>IF(ISNUMBER(SEARCH("High",AC1)), $AC$16/0.1, IF(ISNUMBER(SEARCH("Low",AC1)), $AC$16/0.025, "No"))</f>
        <v>No</v>
      </c>
      <c r="AD39" s="7" t="str">
        <f>IF(ISNUMBER(SEARCH("High",AD1)), $AD$16/0.1, IF(ISNUMBER(SEARCH("Low",AD1)), $AD$16/0.025, "No"))</f>
        <v>No</v>
      </c>
      <c r="AE39" s="7" t="str">
        <f>IF(ISNUMBER(SEARCH("High",AE1)), $AE$16/0.1, IF(ISNUMBER(SEARCH("Low",AE1)), $AE$16/0.025, "No"))</f>
        <v>No</v>
      </c>
      <c r="AF39" s="7" t="str">
        <f>IF(ISNUMBER(SEARCH("High",AF1)), $AF$16/0.1, IF(ISNUMBER(SEARCH("Low",AF1)), $AF$16/0.025, "No"))</f>
        <v>No</v>
      </c>
      <c r="AG39" s="7" t="str">
        <f>IF(ISNUMBER(SEARCH("High",AG1)), $AG$16/0.1, IF(ISNUMBER(SEARCH("Low",AG1)), $AG$16/0.025, "No"))</f>
        <v>No</v>
      </c>
      <c r="AH39" s="7" t="str">
        <f>IF(ISNUMBER(SEARCH("High",AH1)), $AH$16/0.1, IF(ISNUMBER(SEARCH("Low",AH1)), $AH$16/0.025, "No"))</f>
        <v>No</v>
      </c>
      <c r="AI39" s="7" t="str">
        <f>IF(ISNUMBER(SEARCH("High",AI1)), $AI$16/0.1, IF(ISNUMBER(SEARCH("Low",AI1)), $AI$16/0.025, "No"))</f>
        <v>No</v>
      </c>
      <c r="AJ39" s="7" t="str">
        <f>IF(ISNUMBER(SEARCH("High",AJ1)), $AJ$16/0.1, IF(ISNUMBER(SEARCH("Low",AJ1)), $AJ$16/0.025, "No"))</f>
        <v>No</v>
      </c>
      <c r="AK39" s="7" t="str">
        <f>IF(ISNUMBER(SEARCH("High",AK1)), $AK$16/0.1, IF(ISNUMBER(SEARCH("Low",AK1)), $AK$16/0.025, "No"))</f>
        <v>No</v>
      </c>
      <c r="AL39" s="7" t="str">
        <f>IF(ISNUMBER(SEARCH("High",AL1)), $AL$16/0.1, IF(ISNUMBER(SEARCH("Low",AL1)), $AL$16/0.025, "No"))</f>
        <v>No</v>
      </c>
      <c r="AM39" s="7">
        <f>IF(ISNUMBER(SEARCH("High",AM1)), $AM$16/0.1, IF(ISNUMBER(SEARCH("Low",AM1)), $AM$16/0.025, "No"))</f>
        <v>0.88650000000000007</v>
      </c>
      <c r="AN39" s="7">
        <f>IF(ISNUMBER(SEARCH("High",AN1)), $AN$16/0.1, IF(ISNUMBER(SEARCH("Low",AN1)), $AN$16/0.025, "No"))</f>
        <v>1.0791999999999999</v>
      </c>
      <c r="AO39" s="7" t="str">
        <f>IF(ISNUMBER(SEARCH("High",AO1)), $AO$16/0.1, IF(ISNUMBER(SEARCH("Low",AO1)), $AO$16/0.025, "No"))</f>
        <v>No</v>
      </c>
      <c r="AP39" s="7" t="str">
        <f>IF(ISNUMBER(SEARCH("High",AP1)), $AP$16/0.1, IF(ISNUMBER(SEARCH("Low",AP1)), $AP$16/0.025, "No"))</f>
        <v>No</v>
      </c>
      <c r="AQ39" s="7" t="str">
        <f>IF(ISNUMBER(SEARCH("High",AQ1)), $AQ$16/0.1, IF(ISNUMBER(SEARCH("Low",AQ1)), $AQ$16/0.025, "No"))</f>
        <v>No</v>
      </c>
      <c r="AR39" s="7" t="str">
        <f>IF(ISNUMBER(SEARCH("High",AR1)), $AR$16/0.1, IF(ISNUMBER(SEARCH("Low",AR1)), $AR$16/0.025, "No"))</f>
        <v>No</v>
      </c>
      <c r="AS39" s="7" t="str">
        <f>IF(ISNUMBER(SEARCH("High",AS1)), $AS$16/0.1, IF(ISNUMBER(SEARCH("Low",AS1)), $AS$16/0.025, "No"))</f>
        <v>No</v>
      </c>
      <c r="AT39" s="7" t="str">
        <f>IF(ISNUMBER(SEARCH("High",AT1)), $AT$16/0.1, IF(ISNUMBER(SEARCH("Low",AT1)), $AT$16/0.025, "No"))</f>
        <v>No</v>
      </c>
      <c r="AU39" s="7">
        <f>IF(ISNUMBER(SEARCH("High",AU1)), $AU$16/0.1, IF(ISNUMBER(SEARCH("Low",AU1)), $AU$16/0.025, "No"))</f>
        <v>0.88459999999999994</v>
      </c>
      <c r="AV39" s="7">
        <f>IF(ISNUMBER(SEARCH("High",AV1)), $AV$16/0.1, IF(ISNUMBER(SEARCH("Low",AV1)), $AV$16/0.025, "No"))</f>
        <v>1.0771999999999999</v>
      </c>
    </row>
    <row r="40" spans="1:48" x14ac:dyDescent="0.2">
      <c r="A40" t="str">
        <f>$A$17</f>
        <v>9.19</v>
      </c>
      <c r="B40" t="str">
        <f>$B$17</f>
        <v>CBC</v>
      </c>
      <c r="C40" t="str">
        <f>$C$17</f>
        <v>Compou
nd
Amount</v>
      </c>
      <c r="D40" s="7">
        <f>IF(ISNUMBER(SEARCH("High",D1)), $D$17/0.1, IF(ISNUMBER(SEARCH("Low",D1)), $D$17/0.025, "No"))</f>
        <v>0</v>
      </c>
      <c r="E40" s="7">
        <f>IF(ISNUMBER(SEARCH("High",E1)), $E$17/0.1, IF(ISNUMBER(SEARCH("Low",E1)), $E$17/0.025, "No"))</f>
        <v>1.0968</v>
      </c>
      <c r="F40" s="7" t="str">
        <f>IF(ISNUMBER(SEARCH("High",F1)), $F$17/0.1, IF(ISNUMBER(SEARCH("Low",F1)), $F$17/0.025, "No"))</f>
        <v>No</v>
      </c>
      <c r="G40" s="7" t="str">
        <f>IF(ISNUMBER(SEARCH("High",G1)), $G$17/0.1, IF(ISNUMBER(SEARCH("Low",G1)), $G$17/0.025, "No"))</f>
        <v>No</v>
      </c>
      <c r="H40" s="7" t="str">
        <f>IF(ISNUMBER(SEARCH("High",H1)), $H$17/0.1, IF(ISNUMBER(SEARCH("Low",H1)), $H$17/0.025, "No"))</f>
        <v>No</v>
      </c>
      <c r="I40" s="7" t="str">
        <f>IF(ISNUMBER(SEARCH("High",I1)), $I$17/0.1, IF(ISNUMBER(SEARCH("Low",I1)), $I$17/0.025, "No"))</f>
        <v>No</v>
      </c>
      <c r="J40" s="7" t="str">
        <f>IF(ISNUMBER(SEARCH("High",J1)), $J$17/0.1, IF(ISNUMBER(SEARCH("Low",J1)), $J$17/0.025, "No"))</f>
        <v>No</v>
      </c>
      <c r="K40" s="7" t="str">
        <f>IF(ISNUMBER(SEARCH("High",K1)), $K$17/0.1, IF(ISNUMBER(SEARCH("Low",K1)), $K$17/0.025, "No"))</f>
        <v>No</v>
      </c>
      <c r="L40" s="7" t="str">
        <f>IF(ISNUMBER(SEARCH("High",L1)), $L$17/0.1, IF(ISNUMBER(SEARCH("Low",L1)), $L$17/0.025, "No"))</f>
        <v>No</v>
      </c>
      <c r="M40" s="7" t="str">
        <f>IF(ISNUMBER(SEARCH("High",M1)), $M$17/0.1, IF(ISNUMBER(SEARCH("Low",M1)), $M$17/0.025, "No"))</f>
        <v>No</v>
      </c>
      <c r="N40" s="7" t="str">
        <f>IF(ISNUMBER(SEARCH("High",N1)), $N$17/0.1, IF(ISNUMBER(SEARCH("Low",N1)), $N$17/0.025, "No"))</f>
        <v>No</v>
      </c>
      <c r="O40" s="7" t="str">
        <f>IF(ISNUMBER(SEARCH("High",O1)), $O$17/0.1, IF(ISNUMBER(SEARCH("Low",O1)), $O$17/0.025, "No"))</f>
        <v>No</v>
      </c>
      <c r="P40" s="7" t="str">
        <f>IF(ISNUMBER(SEARCH("High",P1)), $P$17/0.1, IF(ISNUMBER(SEARCH("Low",P1)), $P$17/0.025, "No"))</f>
        <v>No</v>
      </c>
      <c r="Q40" s="7" t="str">
        <f>IF(ISNUMBER(SEARCH("High",Q1)), $Q$17/0.1, IF(ISNUMBER(SEARCH("Low",Q1)), $Q$17/0.025, "No"))</f>
        <v>No</v>
      </c>
      <c r="R40" s="7">
        <f>IF(ISNUMBER(SEARCH("High",R1)), $R$17/0.1, IF(ISNUMBER(SEARCH("Low",R1)), $R$17/0.025, "No"))</f>
        <v>1.0808</v>
      </c>
      <c r="S40" s="7" t="str">
        <f>IF(ISNUMBER(SEARCH("High",S1)), $S$17/0.1, IF(ISNUMBER(SEARCH("Low",S1)), $S$17/0.025, "No"))</f>
        <v>No</v>
      </c>
      <c r="T40" s="7" t="str">
        <f>IF(ISNUMBER(SEARCH("High",T1)), $T$17/0.1, IF(ISNUMBER(SEARCH("Low",T1)), $T$17/0.025, "No"))</f>
        <v>No</v>
      </c>
      <c r="U40" s="7" t="str">
        <f>IF(ISNUMBER(SEARCH("High",U1)), $U$17/0.1, IF(ISNUMBER(SEARCH("Low",U1)), $U$17/0.025, "No"))</f>
        <v>No</v>
      </c>
      <c r="V40" s="7" t="str">
        <f>IF(ISNUMBER(SEARCH("High",V1)), $V$17/0.1, IF(ISNUMBER(SEARCH("Low",V1)), $V$17/0.025, "No"))</f>
        <v>No</v>
      </c>
      <c r="W40" s="7" t="str">
        <f>IF(ISNUMBER(SEARCH("High",W1)), $W$17/0.1, IF(ISNUMBER(SEARCH("Low",W1)), $W$17/0.025, "No"))</f>
        <v>No</v>
      </c>
      <c r="X40" s="7" t="str">
        <f>IF(ISNUMBER(SEARCH("High",X1)), $X$17/0.1, IF(ISNUMBER(SEARCH("Low",X1)), $X$17/0.025, "No"))</f>
        <v>No</v>
      </c>
      <c r="Y40" s="7" t="str">
        <f>IF(ISNUMBER(SEARCH("High",Y1)), $Y$17/0.1, IF(ISNUMBER(SEARCH("Low",Y1)), $Y$17/0.025, "No"))</f>
        <v>No</v>
      </c>
      <c r="Z40" s="7" t="str">
        <f>IF(ISNUMBER(SEARCH("High",Z1)), $Z$17/0.1, IF(ISNUMBER(SEARCH("Low",Z1)), $Z$17/0.025, "No"))</f>
        <v>No</v>
      </c>
      <c r="AA40" s="7">
        <f>IF(ISNUMBER(SEARCH("High",AA1)), $AA$17/0.1, IF(ISNUMBER(SEARCH("Low",AA1)), $AA$17/0.025, "No"))</f>
        <v>0</v>
      </c>
      <c r="AB40" s="7">
        <f>IF(ISNUMBER(SEARCH("High",AB1)), $AB$17/0.1, IF(ISNUMBER(SEARCH("Low",AB1)), $AB$17/0.025, "No"))</f>
        <v>1.0711999999999999</v>
      </c>
      <c r="AC40" s="7" t="str">
        <f>IF(ISNUMBER(SEARCH("High",AC1)), $AC$17/0.1, IF(ISNUMBER(SEARCH("Low",AC1)), $AC$17/0.025, "No"))</f>
        <v>No</v>
      </c>
      <c r="AD40" s="7" t="str">
        <f>IF(ISNUMBER(SEARCH("High",AD1)), $AD$17/0.1, IF(ISNUMBER(SEARCH("Low",AD1)), $AD$17/0.025, "No"))</f>
        <v>No</v>
      </c>
      <c r="AE40" s="7" t="str">
        <f>IF(ISNUMBER(SEARCH("High",AE1)), $AE$17/0.1, IF(ISNUMBER(SEARCH("Low",AE1)), $AE$17/0.025, "No"))</f>
        <v>No</v>
      </c>
      <c r="AF40" s="7" t="str">
        <f>IF(ISNUMBER(SEARCH("High",AF1)), $AF$17/0.1, IF(ISNUMBER(SEARCH("Low",AF1)), $AF$17/0.025, "No"))</f>
        <v>No</v>
      </c>
      <c r="AG40" s="7" t="str">
        <f>IF(ISNUMBER(SEARCH("High",AG1)), $AG$17/0.1, IF(ISNUMBER(SEARCH("Low",AG1)), $AG$17/0.025, "No"))</f>
        <v>No</v>
      </c>
      <c r="AH40" s="7" t="str">
        <f>IF(ISNUMBER(SEARCH("High",AH1)), $AH$17/0.1, IF(ISNUMBER(SEARCH("Low",AH1)), $AH$17/0.025, "No"))</f>
        <v>No</v>
      </c>
      <c r="AI40" s="7" t="str">
        <f>IF(ISNUMBER(SEARCH("High",AI1)), $AI$17/0.1, IF(ISNUMBER(SEARCH("Low",AI1)), $AI$17/0.025, "No"))</f>
        <v>No</v>
      </c>
      <c r="AJ40" s="7" t="str">
        <f>IF(ISNUMBER(SEARCH("High",AJ1)), $AJ$17/0.1, IF(ISNUMBER(SEARCH("Low",AJ1)), $AJ$17/0.025, "No"))</f>
        <v>No</v>
      </c>
      <c r="AK40" s="7" t="str">
        <f>IF(ISNUMBER(SEARCH("High",AK1)), $AK$17/0.1, IF(ISNUMBER(SEARCH("Low",AK1)), $AK$17/0.025, "No"))</f>
        <v>No</v>
      </c>
      <c r="AL40" s="7" t="str">
        <f>IF(ISNUMBER(SEARCH("High",AL1)), $AL$17/0.1, IF(ISNUMBER(SEARCH("Low",AL1)), $AL$17/0.025, "No"))</f>
        <v>No</v>
      </c>
      <c r="AM40" s="7">
        <f>IF(ISNUMBER(SEARCH("High",AM1)), $AM$17/0.1, IF(ISNUMBER(SEARCH("Low",AM1)), $AM$17/0.025, "No"))</f>
        <v>0</v>
      </c>
      <c r="AN40" s="7">
        <f>IF(ISNUMBER(SEARCH("High",AN1)), $AN$17/0.1, IF(ISNUMBER(SEARCH("Low",AN1)), $AN$17/0.025, "No"))</f>
        <v>1.0684</v>
      </c>
      <c r="AO40" s="7" t="str">
        <f>IF(ISNUMBER(SEARCH("High",AO1)), $AO$17/0.1, IF(ISNUMBER(SEARCH("Low",AO1)), $AO$17/0.025, "No"))</f>
        <v>No</v>
      </c>
      <c r="AP40" s="7" t="str">
        <f>IF(ISNUMBER(SEARCH("High",AP1)), $AP$17/0.1, IF(ISNUMBER(SEARCH("Low",AP1)), $AP$17/0.025, "No"))</f>
        <v>No</v>
      </c>
      <c r="AQ40" s="7" t="str">
        <f>IF(ISNUMBER(SEARCH("High",AQ1)), $AQ$17/0.1, IF(ISNUMBER(SEARCH("Low",AQ1)), $AQ$17/0.025, "No"))</f>
        <v>No</v>
      </c>
      <c r="AR40" s="7" t="str">
        <f>IF(ISNUMBER(SEARCH("High",AR1)), $AR$17/0.1, IF(ISNUMBER(SEARCH("Low",AR1)), $AR$17/0.025, "No"))</f>
        <v>No</v>
      </c>
      <c r="AS40" s="7" t="str">
        <f>IF(ISNUMBER(SEARCH("High",AS1)), $AS$17/0.1, IF(ISNUMBER(SEARCH("Low",AS1)), $AS$17/0.025, "No"))</f>
        <v>No</v>
      </c>
      <c r="AT40" s="7" t="str">
        <f>IF(ISNUMBER(SEARCH("High",AT1)), $AT$17/0.1, IF(ISNUMBER(SEARCH("Low",AT1)), $AT$17/0.025, "No"))</f>
        <v>No</v>
      </c>
      <c r="AU40" s="7">
        <f>IF(ISNUMBER(SEARCH("High",AU1)), $AU$17/0.1, IF(ISNUMBER(SEARCH("Low",AU1)), $AU$17/0.025, "No"))</f>
        <v>0</v>
      </c>
      <c r="AV40" s="7">
        <f>IF(ISNUMBER(SEARCH("High",AV1)), $AV$17/0.1, IF(ISNUMBER(SEARCH("Low",AV1)), $AV$17/0.025, "No"))</f>
        <v>1.0675999999999999</v>
      </c>
    </row>
    <row r="41" spans="1:48" x14ac:dyDescent="0.2">
      <c r="A41" t="str">
        <f>$A$18</f>
        <v>9.77</v>
      </c>
      <c r="B41" t="str">
        <f>$B$18</f>
        <v>CBCA</v>
      </c>
      <c r="C41" t="str">
        <f>$C$18</f>
        <v>Compou
nd
Amount</v>
      </c>
      <c r="D41" s="7">
        <f>IF(ISNUMBER(SEARCH("High",D1)), $D$18/0.1, IF(ISNUMBER(SEARCH("Low",D1)), $D$18/0.025, "No"))</f>
        <v>0</v>
      </c>
      <c r="E41" s="7">
        <f>IF(ISNUMBER(SEARCH("High",E1)), $E$18/0.1, IF(ISNUMBER(SEARCH("Low",E1)), $E$18/0.025, "No"))</f>
        <v>1.1068</v>
      </c>
      <c r="F41" s="7" t="str">
        <f>IF(ISNUMBER(SEARCH("High",F1)), $F$18/0.1, IF(ISNUMBER(SEARCH("Low",F1)), $F$18/0.025, "No"))</f>
        <v>No</v>
      </c>
      <c r="G41" s="7" t="str">
        <f>IF(ISNUMBER(SEARCH("High",G1)), $G$18/0.1, IF(ISNUMBER(SEARCH("Low",G1)), $G$18/0.025, "No"))</f>
        <v>No</v>
      </c>
      <c r="H41" s="7" t="str">
        <f>IF(ISNUMBER(SEARCH("High",H1)), $H$18/0.1, IF(ISNUMBER(SEARCH("Low",H1)), $H$18/0.025, "No"))</f>
        <v>No</v>
      </c>
      <c r="I41" s="7" t="str">
        <f>IF(ISNUMBER(SEARCH("High",I1)), $I$18/0.1, IF(ISNUMBER(SEARCH("Low",I1)), $I$18/0.025, "No"))</f>
        <v>No</v>
      </c>
      <c r="J41" s="7" t="str">
        <f>IF(ISNUMBER(SEARCH("High",J1)), $J$18/0.1, IF(ISNUMBER(SEARCH("Low",J1)), $J$18/0.025, "No"))</f>
        <v>No</v>
      </c>
      <c r="K41" s="7" t="str">
        <f>IF(ISNUMBER(SEARCH("High",K1)), $K$18/0.1, IF(ISNUMBER(SEARCH("Low",K1)), $K$18/0.025, "No"))</f>
        <v>No</v>
      </c>
      <c r="L41" s="7" t="str">
        <f>IF(ISNUMBER(SEARCH("High",L1)), $L$18/0.1, IF(ISNUMBER(SEARCH("Low",L1)), $L$18/0.025, "No"))</f>
        <v>No</v>
      </c>
      <c r="M41" s="7" t="str">
        <f>IF(ISNUMBER(SEARCH("High",M1)), $M$18/0.1, IF(ISNUMBER(SEARCH("Low",M1)), $M$18/0.025, "No"))</f>
        <v>No</v>
      </c>
      <c r="N41" s="7" t="str">
        <f>IF(ISNUMBER(SEARCH("High",N1)), $N$18/0.1, IF(ISNUMBER(SEARCH("Low",N1)), $N$18/0.025, "No"))</f>
        <v>No</v>
      </c>
      <c r="O41" s="7" t="str">
        <f>IF(ISNUMBER(SEARCH("High",O1)), $O$18/0.1, IF(ISNUMBER(SEARCH("Low",O1)), $O$18/0.025, "No"))</f>
        <v>No</v>
      </c>
      <c r="P41" s="7" t="str">
        <f>IF(ISNUMBER(SEARCH("High",P1)), $P$18/0.1, IF(ISNUMBER(SEARCH("Low",P1)), $P$18/0.025, "No"))</f>
        <v>No</v>
      </c>
      <c r="Q41" s="7" t="str">
        <f>IF(ISNUMBER(SEARCH("High",Q1)), $Q$18/0.1, IF(ISNUMBER(SEARCH("Low",Q1)), $Q$18/0.025, "No"))</f>
        <v>No</v>
      </c>
      <c r="R41" s="7">
        <f>IF(ISNUMBER(SEARCH("High",R1)), $R$18/0.1, IF(ISNUMBER(SEARCH("Low",R1)), $R$18/0.025, "No"))</f>
        <v>1.0847999999999998</v>
      </c>
      <c r="S41" s="7" t="str">
        <f>IF(ISNUMBER(SEARCH("High",S1)), $S$18/0.1, IF(ISNUMBER(SEARCH("Low",S1)), $S$18/0.025, "No"))</f>
        <v>No</v>
      </c>
      <c r="T41" s="7" t="str">
        <f>IF(ISNUMBER(SEARCH("High",T1)), $T$18/0.1, IF(ISNUMBER(SEARCH("Low",T1)), $T$18/0.025, "No"))</f>
        <v>No</v>
      </c>
      <c r="U41" s="7" t="str">
        <f>IF(ISNUMBER(SEARCH("High",U1)), $U$18/0.1, IF(ISNUMBER(SEARCH("Low",U1)), $U$18/0.025, "No"))</f>
        <v>No</v>
      </c>
      <c r="V41" s="7" t="str">
        <f>IF(ISNUMBER(SEARCH("High",V1)), $V$18/0.1, IF(ISNUMBER(SEARCH("Low",V1)), $V$18/0.025, "No"))</f>
        <v>No</v>
      </c>
      <c r="W41" s="7" t="str">
        <f>IF(ISNUMBER(SEARCH("High",W1)), $W$18/0.1, IF(ISNUMBER(SEARCH("Low",W1)), $W$18/0.025, "No"))</f>
        <v>No</v>
      </c>
      <c r="X41" s="7" t="str">
        <f>IF(ISNUMBER(SEARCH("High",X1)), $X$18/0.1, IF(ISNUMBER(SEARCH("Low",X1)), $X$18/0.025, "No"))</f>
        <v>No</v>
      </c>
      <c r="Y41" s="7" t="str">
        <f>IF(ISNUMBER(SEARCH("High",Y1)), $Y$18/0.1, IF(ISNUMBER(SEARCH("Low",Y1)), $Y$18/0.025, "No"))</f>
        <v>No</v>
      </c>
      <c r="Z41" s="7" t="str">
        <f>IF(ISNUMBER(SEARCH("High",Z1)), $Z$18/0.1, IF(ISNUMBER(SEARCH("Low",Z1)), $Z$18/0.025, "No"))</f>
        <v>No</v>
      </c>
      <c r="AA41" s="7">
        <f>IF(ISNUMBER(SEARCH("High",AA1)), $AA$18/0.1, IF(ISNUMBER(SEARCH("Low",AA1)), $AA$18/0.025, "No"))</f>
        <v>0</v>
      </c>
      <c r="AB41" s="7">
        <f>IF(ISNUMBER(SEARCH("High",AB1)), $AB$18/0.1, IF(ISNUMBER(SEARCH("Low",AB1)), $AB$18/0.025, "No"))</f>
        <v>1.0671999999999999</v>
      </c>
      <c r="AC41" s="7" t="str">
        <f>IF(ISNUMBER(SEARCH("High",AC1)), $AC$18/0.1, IF(ISNUMBER(SEARCH("Low",AC1)), $AC$18/0.025, "No"))</f>
        <v>No</v>
      </c>
      <c r="AD41" s="7" t="str">
        <f>IF(ISNUMBER(SEARCH("High",AD1)), $AD$18/0.1, IF(ISNUMBER(SEARCH("Low",AD1)), $AD$18/0.025, "No"))</f>
        <v>No</v>
      </c>
      <c r="AE41" s="7" t="str">
        <f>IF(ISNUMBER(SEARCH("High",AE1)), $AE$18/0.1, IF(ISNUMBER(SEARCH("Low",AE1)), $AE$18/0.025, "No"))</f>
        <v>No</v>
      </c>
      <c r="AF41" s="7" t="str">
        <f>IF(ISNUMBER(SEARCH("High",AF1)), $AF$18/0.1, IF(ISNUMBER(SEARCH("Low",AF1)), $AF$18/0.025, "No"))</f>
        <v>No</v>
      </c>
      <c r="AG41" s="7" t="str">
        <f>IF(ISNUMBER(SEARCH("High",AG1)), $AG$18/0.1, IF(ISNUMBER(SEARCH("Low",AG1)), $AG$18/0.025, "No"))</f>
        <v>No</v>
      </c>
      <c r="AH41" s="7" t="str">
        <f>IF(ISNUMBER(SEARCH("High",AH1)), $AH$18/0.1, IF(ISNUMBER(SEARCH("Low",AH1)), $AH$18/0.025, "No"))</f>
        <v>No</v>
      </c>
      <c r="AI41" s="7" t="str">
        <f>IF(ISNUMBER(SEARCH("High",AI1)), $AI$18/0.1, IF(ISNUMBER(SEARCH("Low",AI1)), $AI$18/0.025, "No"))</f>
        <v>No</v>
      </c>
      <c r="AJ41" s="7" t="str">
        <f>IF(ISNUMBER(SEARCH("High",AJ1)), $AJ$18/0.1, IF(ISNUMBER(SEARCH("Low",AJ1)), $AJ$18/0.025, "No"))</f>
        <v>No</v>
      </c>
      <c r="AK41" s="7" t="str">
        <f>IF(ISNUMBER(SEARCH("High",AK1)), $AK$18/0.1, IF(ISNUMBER(SEARCH("Low",AK1)), $AK$18/0.025, "No"))</f>
        <v>No</v>
      </c>
      <c r="AL41" s="7" t="str">
        <f>IF(ISNUMBER(SEARCH("High",AL1)), $AL$18/0.1, IF(ISNUMBER(SEARCH("Low",AL1)), $AL$18/0.025, "No"))</f>
        <v>No</v>
      </c>
      <c r="AM41" s="7">
        <f>IF(ISNUMBER(SEARCH("High",AM1)), $AM$18/0.1, IF(ISNUMBER(SEARCH("Low",AM1)), $AM$18/0.025, "No"))</f>
        <v>0</v>
      </c>
      <c r="AN41" s="7">
        <f>IF(ISNUMBER(SEARCH("High",AN1)), $AN$18/0.1, IF(ISNUMBER(SEARCH("Low",AN1)), $AN$18/0.025, "No"))</f>
        <v>1.0620000000000001</v>
      </c>
      <c r="AO41" s="7" t="str">
        <f>IF(ISNUMBER(SEARCH("High",AO1)), $AO$18/0.1, IF(ISNUMBER(SEARCH("Low",AO1)), $AO$18/0.025, "No"))</f>
        <v>No</v>
      </c>
      <c r="AP41" s="7" t="str">
        <f>IF(ISNUMBER(SEARCH("High",AP1)), $AP$18/0.1, IF(ISNUMBER(SEARCH("Low",AP1)), $AP$18/0.025, "No"))</f>
        <v>No</v>
      </c>
      <c r="AQ41" s="7" t="str">
        <f>IF(ISNUMBER(SEARCH("High",AQ1)), $AQ$18/0.1, IF(ISNUMBER(SEARCH("Low",AQ1)), $AQ$18/0.025, "No"))</f>
        <v>No</v>
      </c>
      <c r="AR41" s="7" t="str">
        <f>IF(ISNUMBER(SEARCH("High",AR1)), $AR$18/0.1, IF(ISNUMBER(SEARCH("Low",AR1)), $AR$18/0.025, "No"))</f>
        <v>No</v>
      </c>
      <c r="AS41" s="7" t="str">
        <f>IF(ISNUMBER(SEARCH("High",AS1)), $AS$18/0.1, IF(ISNUMBER(SEARCH("Low",AS1)), $AS$18/0.025, "No"))</f>
        <v>No</v>
      </c>
      <c r="AT41" s="7" t="str">
        <f>IF(ISNUMBER(SEARCH("High",AT1)), $AT$18/0.1, IF(ISNUMBER(SEARCH("Low",AT1)), $AT$18/0.025, "No"))</f>
        <v>No</v>
      </c>
      <c r="AU41" s="7">
        <f>IF(ISNUMBER(SEARCH("High",AU1)), $AU$18/0.1, IF(ISNUMBER(SEARCH("Low",AU1)), $AU$18/0.025, "No"))</f>
        <v>0</v>
      </c>
      <c r="AV41" s="7">
        <f>IF(ISNUMBER(SEARCH("High",AV1)), $AV$18/0.1, IF(ISNUMBER(SEARCH("Low",AV1)), $AV$18/0.025, "No"))</f>
        <v>1.0588</v>
      </c>
    </row>
    <row r="42" spans="1:48" x14ac:dyDescent="0.2">
      <c r="A42" t="str">
        <f>$A$19</f>
        <v>9.96</v>
      </c>
      <c r="B42" t="str">
        <f>$B$19</f>
        <v>CBLA</v>
      </c>
      <c r="C42" t="str">
        <f>$C$19</f>
        <v>Compou
nd
Amount</v>
      </c>
      <c r="D42" s="7">
        <f>IF(ISNUMBER(SEARCH("High",D1)), $D$19/0.1, IF(ISNUMBER(SEARCH("Low",D1)), $D$19/0.025, "No"))</f>
        <v>0</v>
      </c>
      <c r="E42" s="7">
        <f>IF(ISNUMBER(SEARCH("High",E1)), $E$19/0.1, IF(ISNUMBER(SEARCH("Low",E1)), $E$19/0.025, "No"))</f>
        <v>1.1012</v>
      </c>
      <c r="F42" s="7" t="str">
        <f>IF(ISNUMBER(SEARCH("High",F1)), $F$19/0.1, IF(ISNUMBER(SEARCH("Low",F1)), $F$19/0.025, "No"))</f>
        <v>No</v>
      </c>
      <c r="G42" s="7" t="str">
        <f>IF(ISNUMBER(SEARCH("High",G1)), $G$19/0.1, IF(ISNUMBER(SEARCH("Low",G1)), $G$19/0.025, "No"))</f>
        <v>No</v>
      </c>
      <c r="H42" s="7" t="str">
        <f>IF(ISNUMBER(SEARCH("High",H1)), $H$19/0.1, IF(ISNUMBER(SEARCH("Low",H1)), $H$19/0.025, "No"))</f>
        <v>No</v>
      </c>
      <c r="I42" s="7" t="str">
        <f>IF(ISNUMBER(SEARCH("High",I1)), $I$19/0.1, IF(ISNUMBER(SEARCH("Low",I1)), $I$19/0.025, "No"))</f>
        <v>No</v>
      </c>
      <c r="J42" s="7" t="str">
        <f>IF(ISNUMBER(SEARCH("High",J1)), $J$19/0.1, IF(ISNUMBER(SEARCH("Low",J1)), $J$19/0.025, "No"))</f>
        <v>No</v>
      </c>
      <c r="K42" s="7" t="str">
        <f>IF(ISNUMBER(SEARCH("High",K1)), $K$19/0.1, IF(ISNUMBER(SEARCH("Low",K1)), $K$19/0.025, "No"))</f>
        <v>No</v>
      </c>
      <c r="L42" s="7" t="str">
        <f>IF(ISNUMBER(SEARCH("High",L1)), $L$19/0.1, IF(ISNUMBER(SEARCH("Low",L1)), $L$19/0.025, "No"))</f>
        <v>No</v>
      </c>
      <c r="M42" s="7" t="str">
        <f>IF(ISNUMBER(SEARCH("High",M1)), $M$19/0.1, IF(ISNUMBER(SEARCH("Low",M1)), $M$19/0.025, "No"))</f>
        <v>No</v>
      </c>
      <c r="N42" s="7" t="str">
        <f>IF(ISNUMBER(SEARCH("High",N1)), $N$19/0.1, IF(ISNUMBER(SEARCH("Low",N1)), $N$19/0.025, "No"))</f>
        <v>No</v>
      </c>
      <c r="O42" s="7" t="str">
        <f>IF(ISNUMBER(SEARCH("High",O1)), $O$19/0.1, IF(ISNUMBER(SEARCH("Low",O1)), $O$19/0.025, "No"))</f>
        <v>No</v>
      </c>
      <c r="P42" s="7" t="str">
        <f>IF(ISNUMBER(SEARCH("High",P1)), $P$19/0.1, IF(ISNUMBER(SEARCH("Low",P1)), $P$19/0.025, "No"))</f>
        <v>No</v>
      </c>
      <c r="Q42" s="7" t="str">
        <f>IF(ISNUMBER(SEARCH("High",Q1)), $Q$19/0.1, IF(ISNUMBER(SEARCH("Low",Q1)), $Q$19/0.025, "No"))</f>
        <v>No</v>
      </c>
      <c r="R42" s="7">
        <f>IF(ISNUMBER(SEARCH("High",R1)), $R$19/0.1, IF(ISNUMBER(SEARCH("Low",R1)), $R$19/0.025, "No"))</f>
        <v>1.0768</v>
      </c>
      <c r="S42" s="7" t="str">
        <f>IF(ISNUMBER(SEARCH("High",S1)), $S$19/0.1, IF(ISNUMBER(SEARCH("Low",S1)), $S$19/0.025, "No"))</f>
        <v>No</v>
      </c>
      <c r="T42" s="7" t="str">
        <f>IF(ISNUMBER(SEARCH("High",T1)), $T$19/0.1, IF(ISNUMBER(SEARCH("Low",T1)), $T$19/0.025, "No"))</f>
        <v>No</v>
      </c>
      <c r="U42" s="7" t="str">
        <f>IF(ISNUMBER(SEARCH("High",U1)), $U$19/0.1, IF(ISNUMBER(SEARCH("Low",U1)), $U$19/0.025, "No"))</f>
        <v>No</v>
      </c>
      <c r="V42" s="7" t="str">
        <f>IF(ISNUMBER(SEARCH("High",V1)), $V$19/0.1, IF(ISNUMBER(SEARCH("Low",V1)), $V$19/0.025, "No"))</f>
        <v>No</v>
      </c>
      <c r="W42" s="7" t="str">
        <f>IF(ISNUMBER(SEARCH("High",W1)), $W$19/0.1, IF(ISNUMBER(SEARCH("Low",W1)), $W$19/0.025, "No"))</f>
        <v>No</v>
      </c>
      <c r="X42" s="7" t="str">
        <f>IF(ISNUMBER(SEARCH("High",X1)), $X$19/0.1, IF(ISNUMBER(SEARCH("Low",X1)), $X$19/0.025, "No"))</f>
        <v>No</v>
      </c>
      <c r="Y42" s="7" t="str">
        <f>IF(ISNUMBER(SEARCH("High",Y1)), $Y$19/0.1, IF(ISNUMBER(SEARCH("Low",Y1)), $Y$19/0.025, "No"))</f>
        <v>No</v>
      </c>
      <c r="Z42" s="7" t="str">
        <f>IF(ISNUMBER(SEARCH("High",Z1)), $Z$19/0.1, IF(ISNUMBER(SEARCH("Low",Z1)), $Z$19/0.025, "No"))</f>
        <v>No</v>
      </c>
      <c r="AA42" s="7">
        <f>IF(ISNUMBER(SEARCH("High",AA1)), $AA$19/0.1, IF(ISNUMBER(SEARCH("Low",AA1)), $AA$19/0.025, "No"))</f>
        <v>0</v>
      </c>
      <c r="AB42" s="7">
        <f>IF(ISNUMBER(SEARCH("High",AB1)), $AB$19/0.1, IF(ISNUMBER(SEARCH("Low",AB1)), $AB$19/0.025, "No"))</f>
        <v>1.0595999999999999</v>
      </c>
      <c r="AC42" s="7" t="str">
        <f>IF(ISNUMBER(SEARCH("High",AC1)), $AC$19/0.1, IF(ISNUMBER(SEARCH("Low",AC1)), $AC$19/0.025, "No"))</f>
        <v>No</v>
      </c>
      <c r="AD42" s="7" t="str">
        <f>IF(ISNUMBER(SEARCH("High",AD1)), $AD$19/0.1, IF(ISNUMBER(SEARCH("Low",AD1)), $AD$19/0.025, "No"))</f>
        <v>No</v>
      </c>
      <c r="AE42" s="7" t="str">
        <f>IF(ISNUMBER(SEARCH("High",AE1)), $AE$19/0.1, IF(ISNUMBER(SEARCH("Low",AE1)), $AE$19/0.025, "No"))</f>
        <v>No</v>
      </c>
      <c r="AF42" s="7" t="str">
        <f>IF(ISNUMBER(SEARCH("High",AF1)), $AF$19/0.1, IF(ISNUMBER(SEARCH("Low",AF1)), $AF$19/0.025, "No"))</f>
        <v>No</v>
      </c>
      <c r="AG42" s="7" t="str">
        <f>IF(ISNUMBER(SEARCH("High",AG1)), $AG$19/0.1, IF(ISNUMBER(SEARCH("Low",AG1)), $AG$19/0.025, "No"))</f>
        <v>No</v>
      </c>
      <c r="AH42" s="7" t="str">
        <f>IF(ISNUMBER(SEARCH("High",AH1)), $AH$19/0.1, IF(ISNUMBER(SEARCH("Low",AH1)), $AH$19/0.025, "No"))</f>
        <v>No</v>
      </c>
      <c r="AI42" s="7" t="str">
        <f>IF(ISNUMBER(SEARCH("High",AI1)), $AI$19/0.1, IF(ISNUMBER(SEARCH("Low",AI1)), $AI$19/0.025, "No"))</f>
        <v>No</v>
      </c>
      <c r="AJ42" s="7" t="str">
        <f>IF(ISNUMBER(SEARCH("High",AJ1)), $AJ$19/0.1, IF(ISNUMBER(SEARCH("Low",AJ1)), $AJ$19/0.025, "No"))</f>
        <v>No</v>
      </c>
      <c r="AK42" s="7" t="str">
        <f>IF(ISNUMBER(SEARCH("High",AK1)), $AK$19/0.1, IF(ISNUMBER(SEARCH("Low",AK1)), $AK$19/0.025, "No"))</f>
        <v>No</v>
      </c>
      <c r="AL42" s="7" t="str">
        <f>IF(ISNUMBER(SEARCH("High",AL1)), $AL$19/0.1, IF(ISNUMBER(SEARCH("Low",AL1)), $AL$19/0.025, "No"))</f>
        <v>No</v>
      </c>
      <c r="AM42" s="7">
        <f>IF(ISNUMBER(SEARCH("High",AM1)), $AM$19/0.1, IF(ISNUMBER(SEARCH("Low",AM1)), $AM$19/0.025, "No"))</f>
        <v>0</v>
      </c>
      <c r="AN42" s="7">
        <f>IF(ISNUMBER(SEARCH("High",AN1)), $AN$19/0.1, IF(ISNUMBER(SEARCH("Low",AN1)), $AN$19/0.025, "No"))</f>
        <v>1.0539999999999998</v>
      </c>
      <c r="AO42" s="7" t="str">
        <f>IF(ISNUMBER(SEARCH("High",AO1)), $AO$19/0.1, IF(ISNUMBER(SEARCH("Low",AO1)), $AO$19/0.025, "No"))</f>
        <v>No</v>
      </c>
      <c r="AP42" s="7" t="str">
        <f>IF(ISNUMBER(SEARCH("High",AP1)), $AP$19/0.1, IF(ISNUMBER(SEARCH("Low",AP1)), $AP$19/0.025, "No"))</f>
        <v>No</v>
      </c>
      <c r="AQ42" s="7" t="str">
        <f>IF(ISNUMBER(SEARCH("High",AQ1)), $AQ$19/0.1, IF(ISNUMBER(SEARCH("Low",AQ1)), $AQ$19/0.025, "No"))</f>
        <v>No</v>
      </c>
      <c r="AR42" s="7" t="str">
        <f>IF(ISNUMBER(SEARCH("High",AR1)), $AR$19/0.1, IF(ISNUMBER(SEARCH("Low",AR1)), $AR$19/0.025, "No"))</f>
        <v>No</v>
      </c>
      <c r="AS42" s="7" t="str">
        <f>IF(ISNUMBER(SEARCH("High",AS1)), $AS$19/0.1, IF(ISNUMBER(SEARCH("Low",AS1)), $AS$19/0.025, "No"))</f>
        <v>No</v>
      </c>
      <c r="AT42" s="7" t="str">
        <f>IF(ISNUMBER(SEARCH("High",AT1)), $AT$19/0.1, IF(ISNUMBER(SEARCH("Low",AT1)), $AT$19/0.025, "No"))</f>
        <v>No</v>
      </c>
      <c r="AU42" s="7">
        <f>IF(ISNUMBER(SEARCH("High",AU1)), $AU$19/0.1, IF(ISNUMBER(SEARCH("Low",AU1)), $AU$19/0.025, "No"))</f>
        <v>0</v>
      </c>
      <c r="AV42" s="7">
        <f>IF(ISNUMBER(SEARCH("High",AV1)), $AV$19/0.1, IF(ISNUMBER(SEARCH("Low",AV1)), $AV$19/0.025, "No"))</f>
        <v>1.0503999999999998</v>
      </c>
    </row>
    <row r="43" spans="1:48" x14ac:dyDescent="0.2">
      <c r="A43" t="str">
        <f>$A$20</f>
        <v>11.13</v>
      </c>
      <c r="B43" t="str">
        <f>$B$20</f>
        <v>CBT</v>
      </c>
      <c r="C43" t="str">
        <f>$C$20</f>
        <v>Compou
nd
Amount</v>
      </c>
      <c r="D43" s="7">
        <f>IF(ISNUMBER(SEARCH("High",D1)), $D$20/0.1, IF(ISNUMBER(SEARCH("Low",D1)), $D$20/0.025, "No"))</f>
        <v>0</v>
      </c>
      <c r="E43" s="7">
        <f>IF(ISNUMBER(SEARCH("High",E1)), $E$20/0.1, IF(ISNUMBER(SEARCH("Low",E1)), $E$20/0.025, "No"))</f>
        <v>1.1663999999999999</v>
      </c>
      <c r="F43" s="7" t="str">
        <f>IF(ISNUMBER(SEARCH("High",F1)), $F$20/0.1, IF(ISNUMBER(SEARCH("Low",F1)), $F$20/0.025, "No"))</f>
        <v>No</v>
      </c>
      <c r="G43" s="7" t="str">
        <f>IF(ISNUMBER(SEARCH("High",G1)), $G$20/0.1, IF(ISNUMBER(SEARCH("Low",G1)), $G$20/0.025, "No"))</f>
        <v>No</v>
      </c>
      <c r="H43" s="7" t="str">
        <f>IF(ISNUMBER(SEARCH("High",H1)), $H$20/0.1, IF(ISNUMBER(SEARCH("Low",H1)), $H$20/0.025, "No"))</f>
        <v>No</v>
      </c>
      <c r="I43" s="7" t="str">
        <f>IF(ISNUMBER(SEARCH("High",I1)), $I$20/0.1, IF(ISNUMBER(SEARCH("Low",I1)), $I$20/0.025, "No"))</f>
        <v>No</v>
      </c>
      <c r="J43" s="7" t="str">
        <f>IF(ISNUMBER(SEARCH("High",J1)), $J$20/0.1, IF(ISNUMBER(SEARCH("Low",J1)), $J$20/0.025, "No"))</f>
        <v>No</v>
      </c>
      <c r="K43" s="7" t="str">
        <f>IF(ISNUMBER(SEARCH("High",K1)), $K$20/0.1, IF(ISNUMBER(SEARCH("Low",K1)), $K$20/0.025, "No"))</f>
        <v>No</v>
      </c>
      <c r="L43" s="7" t="str">
        <f>IF(ISNUMBER(SEARCH("High",L1)), $L$20/0.1, IF(ISNUMBER(SEARCH("Low",L1)), $L$20/0.025, "No"))</f>
        <v>No</v>
      </c>
      <c r="M43" s="7" t="str">
        <f>IF(ISNUMBER(SEARCH("High",M1)), $M$20/0.1, IF(ISNUMBER(SEARCH("Low",M1)), $M$20/0.025, "No"))</f>
        <v>No</v>
      </c>
      <c r="N43" s="7" t="str">
        <f>IF(ISNUMBER(SEARCH("High",N1)), $N$20/0.1, IF(ISNUMBER(SEARCH("Low",N1)), $N$20/0.025, "No"))</f>
        <v>No</v>
      </c>
      <c r="O43" s="7" t="str">
        <f>IF(ISNUMBER(SEARCH("High",O1)), $O$20/0.1, IF(ISNUMBER(SEARCH("Low",O1)), $O$20/0.025, "No"))</f>
        <v>No</v>
      </c>
      <c r="P43" s="7" t="str">
        <f>IF(ISNUMBER(SEARCH("High",P1)), $P$20/0.1, IF(ISNUMBER(SEARCH("Low",P1)), $P$20/0.025, "No"))</f>
        <v>No</v>
      </c>
      <c r="Q43" s="7" t="str">
        <f>IF(ISNUMBER(SEARCH("High",Q1)), $Q$20/0.1, IF(ISNUMBER(SEARCH("Low",Q1)), $Q$20/0.025, "No"))</f>
        <v>No</v>
      </c>
      <c r="R43" s="7">
        <f>IF(ISNUMBER(SEARCH("High",R1)), $R$20/0.1, IF(ISNUMBER(SEARCH("Low",R1)), $R$20/0.025, "No"))</f>
        <v>1.1576</v>
      </c>
      <c r="S43" s="7" t="str">
        <f>IF(ISNUMBER(SEARCH("High",S1)), $S$20/0.1, IF(ISNUMBER(SEARCH("Low",S1)), $S$20/0.025, "No"))</f>
        <v>No</v>
      </c>
      <c r="T43" s="7" t="str">
        <f>IF(ISNUMBER(SEARCH("High",T1)), $T$20/0.1, IF(ISNUMBER(SEARCH("Low",T1)), $T$20/0.025, "No"))</f>
        <v>No</v>
      </c>
      <c r="U43" s="7" t="str">
        <f>IF(ISNUMBER(SEARCH("High",U1)), $U$20/0.1, IF(ISNUMBER(SEARCH("Low",U1)), $U$20/0.025, "No"))</f>
        <v>No</v>
      </c>
      <c r="V43" s="7" t="str">
        <f>IF(ISNUMBER(SEARCH("High",V1)), $V$20/0.1, IF(ISNUMBER(SEARCH("Low",V1)), $V$20/0.025, "No"))</f>
        <v>No</v>
      </c>
      <c r="W43" s="7" t="str">
        <f>IF(ISNUMBER(SEARCH("High",W1)), $W$20/0.1, IF(ISNUMBER(SEARCH("Low",W1)), $W$20/0.025, "No"))</f>
        <v>No</v>
      </c>
      <c r="X43" s="7" t="str">
        <f>IF(ISNUMBER(SEARCH("High",X1)), $X$20/0.1, IF(ISNUMBER(SEARCH("Low",X1)), $X$20/0.025, "No"))</f>
        <v>No</v>
      </c>
      <c r="Y43" s="7" t="str">
        <f>IF(ISNUMBER(SEARCH("High",Y1)), $Y$20/0.1, IF(ISNUMBER(SEARCH("Low",Y1)), $Y$20/0.025, "No"))</f>
        <v>No</v>
      </c>
      <c r="Z43" s="7" t="str">
        <f>IF(ISNUMBER(SEARCH("High",Z1)), $Z$20/0.1, IF(ISNUMBER(SEARCH("Low",Z1)), $Z$20/0.025, "No"))</f>
        <v>No</v>
      </c>
      <c r="AA43" s="7">
        <f>IF(ISNUMBER(SEARCH("High",AA1)), $AA$20/0.1, IF(ISNUMBER(SEARCH("Low",AA1)), $AA$20/0.025, "No"))</f>
        <v>0</v>
      </c>
      <c r="AB43" s="7">
        <f>IF(ISNUMBER(SEARCH("High",AB1)), $AB$20/0.1, IF(ISNUMBER(SEARCH("Low",AB1)), $AB$20/0.025, "No"))</f>
        <v>1.1491999999999998</v>
      </c>
      <c r="AC43" s="7" t="str">
        <f>IF(ISNUMBER(SEARCH("High",AC1)), $AC$20/0.1, IF(ISNUMBER(SEARCH("Low",AC1)), $AC$20/0.025, "No"))</f>
        <v>No</v>
      </c>
      <c r="AD43" s="7" t="str">
        <f>IF(ISNUMBER(SEARCH("High",AD1)), $AD$20/0.1, IF(ISNUMBER(SEARCH("Low",AD1)), $AD$20/0.025, "No"))</f>
        <v>No</v>
      </c>
      <c r="AE43" s="7" t="str">
        <f>IF(ISNUMBER(SEARCH("High",AE1)), $AE$20/0.1, IF(ISNUMBER(SEARCH("Low",AE1)), $AE$20/0.025, "No"))</f>
        <v>No</v>
      </c>
      <c r="AF43" s="7" t="str">
        <f>IF(ISNUMBER(SEARCH("High",AF1)), $AF$20/0.1, IF(ISNUMBER(SEARCH("Low",AF1)), $AF$20/0.025, "No"))</f>
        <v>No</v>
      </c>
      <c r="AG43" s="7" t="str">
        <f>IF(ISNUMBER(SEARCH("High",AG1)), $AG$20/0.1, IF(ISNUMBER(SEARCH("Low",AG1)), $AG$20/0.025, "No"))</f>
        <v>No</v>
      </c>
      <c r="AH43" s="7" t="str">
        <f>IF(ISNUMBER(SEARCH("High",AH1)), $AH$20/0.1, IF(ISNUMBER(SEARCH("Low",AH1)), $AH$20/0.025, "No"))</f>
        <v>No</v>
      </c>
      <c r="AI43" s="7" t="str">
        <f>IF(ISNUMBER(SEARCH("High",AI1)), $AI$20/0.1, IF(ISNUMBER(SEARCH("Low",AI1)), $AI$20/0.025, "No"))</f>
        <v>No</v>
      </c>
      <c r="AJ43" s="7" t="str">
        <f>IF(ISNUMBER(SEARCH("High",AJ1)), $AJ$20/0.1, IF(ISNUMBER(SEARCH("Low",AJ1)), $AJ$20/0.025, "No"))</f>
        <v>No</v>
      </c>
      <c r="AK43" s="7" t="str">
        <f>IF(ISNUMBER(SEARCH("High",AK1)), $AK$20/0.1, IF(ISNUMBER(SEARCH("Low",AK1)), $AK$20/0.025, "No"))</f>
        <v>No</v>
      </c>
      <c r="AL43" s="7" t="str">
        <f>IF(ISNUMBER(SEARCH("High",AL1)), $AL$20/0.1, IF(ISNUMBER(SEARCH("Low",AL1)), $AL$20/0.025, "No"))</f>
        <v>No</v>
      </c>
      <c r="AM43" s="7">
        <f>IF(ISNUMBER(SEARCH("High",AM1)), $AM$20/0.1, IF(ISNUMBER(SEARCH("Low",AM1)), $AM$20/0.025, "No"))</f>
        <v>0</v>
      </c>
      <c r="AN43" s="7">
        <f>IF(ISNUMBER(SEARCH("High",AN1)), $AN$20/0.1, IF(ISNUMBER(SEARCH("Low",AN1)), $AN$20/0.025, "No"))</f>
        <v>1.1572</v>
      </c>
      <c r="AO43" s="7" t="str">
        <f>IF(ISNUMBER(SEARCH("High",AO1)), $AO$20/0.1, IF(ISNUMBER(SEARCH("Low",AO1)), $AO$20/0.025, "No"))</f>
        <v>No</v>
      </c>
      <c r="AP43" s="7" t="str">
        <f>IF(ISNUMBER(SEARCH("High",AP1)), $AP$20/0.1, IF(ISNUMBER(SEARCH("Low",AP1)), $AP$20/0.025, "No"))</f>
        <v>No</v>
      </c>
      <c r="AQ43" s="7" t="str">
        <f>IF(ISNUMBER(SEARCH("High",AQ1)), $AQ$20/0.1, IF(ISNUMBER(SEARCH("Low",AQ1)), $AQ$20/0.025, "No"))</f>
        <v>No</v>
      </c>
      <c r="AR43" s="7" t="str">
        <f>IF(ISNUMBER(SEARCH("High",AR1)), $AR$20/0.1, IF(ISNUMBER(SEARCH("Low",AR1)), $AR$20/0.025, "No"))</f>
        <v>No</v>
      </c>
      <c r="AS43" s="7" t="str">
        <f>IF(ISNUMBER(SEARCH("High",AS1)), $AS$20/0.1, IF(ISNUMBER(SEARCH("Low",AS1)), $AS$20/0.025, "No"))</f>
        <v>No</v>
      </c>
      <c r="AT43" s="7" t="str">
        <f>IF(ISNUMBER(SEARCH("High",AT1)), $AT$20/0.1, IF(ISNUMBER(SEARCH("Low",AT1)), $AT$20/0.025, "No"))</f>
        <v>No</v>
      </c>
      <c r="AU43" s="7">
        <f>IF(ISNUMBER(SEARCH("High",AU1)), $AU$20/0.1, IF(ISNUMBER(SEARCH("Low",AU1)), $AU$20/0.025, "No"))</f>
        <v>0</v>
      </c>
      <c r="AV43" s="7">
        <f>IF(ISNUMBER(SEARCH("High",AV1)), $AV$20/0.1, IF(ISNUMBER(SEARCH("Low",AV1)), $AV$20/0.025, "No"))</f>
        <v>1.1443999999999999</v>
      </c>
    </row>
    <row r="44" spans="1:48" x14ac:dyDescent="0.2">
      <c r="A44" t="str">
        <f>$A$21</f>
        <v>1.68</v>
      </c>
      <c r="B44" t="str">
        <f>$B$21</f>
        <v>BzP</v>
      </c>
      <c r="C44" t="str">
        <f>$C$21</f>
        <v>Compou
nd
Amount</v>
      </c>
      <c r="D44" s="7">
        <f>IF(ISNUMBER(SEARCH("High",D1)), $D$21/0.1, IF(ISNUMBER(SEARCH("Low",D1)), $D$21/0.1, "No"))</f>
        <v>0.96310000000000007</v>
      </c>
      <c r="E44" s="7">
        <f>IF(ISNUMBER(SEARCH("High",E1)), $E$21/0.1, IF(ISNUMBER(SEARCH("Low",E1)), $E$21/0.1, "No"))</f>
        <v>1.0459999999999998</v>
      </c>
      <c r="F44" s="7" t="str">
        <f>IF(ISNUMBER(SEARCH("High",F1)), $F$21/0.1, IF(ISNUMBER(SEARCH("Low",F1)), $F$21/0.1, "No"))</f>
        <v>No</v>
      </c>
      <c r="G44" s="7" t="str">
        <f>IF(ISNUMBER(SEARCH("High",G1)), $G$21/0.1, IF(ISNUMBER(SEARCH("Low",G1)), $G$21/0.1, "No"))</f>
        <v>No</v>
      </c>
      <c r="H44" s="7" t="str">
        <f>IF(ISNUMBER(SEARCH("High",H1)), $H$21/0.1, IF(ISNUMBER(SEARCH("Low",H1)), $H$21/0.1, "No"))</f>
        <v>No</v>
      </c>
      <c r="I44" s="7" t="str">
        <f>IF(ISNUMBER(SEARCH("High",I1)), $I$21/0.1, IF(ISNUMBER(SEARCH("Low",I1)), $I$21/0.1, "No"))</f>
        <v>No</v>
      </c>
      <c r="J44" s="7" t="str">
        <f>IF(ISNUMBER(SEARCH("High",J1)), $J$21/0.1, IF(ISNUMBER(SEARCH("Low",J1)), $J$21/0.1, "No"))</f>
        <v>No</v>
      </c>
      <c r="K44" s="7" t="str">
        <f>IF(ISNUMBER(SEARCH("High",K1)), $K$21/0.1, IF(ISNUMBER(SEARCH("Low",K1)), $K$21/0.1, "No"))</f>
        <v>No</v>
      </c>
      <c r="L44" s="7" t="str">
        <f>IF(ISNUMBER(SEARCH("High",L1)), $L$21/0.1, IF(ISNUMBER(SEARCH("Low",L1)), $L$21/0.1, "No"))</f>
        <v>No</v>
      </c>
      <c r="M44" s="7" t="str">
        <f>IF(ISNUMBER(SEARCH("High",M1)), $M$21/0.1, IF(ISNUMBER(SEARCH("Low",M1)), $M$21/0.1, "No"))</f>
        <v>No</v>
      </c>
      <c r="N44" s="7" t="str">
        <f>IF(ISNUMBER(SEARCH("High",N1)), $N$21/0.1, IF(ISNUMBER(SEARCH("Low",N1)), $N$21/0.1, "No"))</f>
        <v>No</v>
      </c>
      <c r="O44" s="7" t="str">
        <f>IF(ISNUMBER(SEARCH("High",O1)), $O$21/0.1, IF(ISNUMBER(SEARCH("Low",O1)), $O$21/0.1, "No"))</f>
        <v>No</v>
      </c>
      <c r="P44" s="7" t="str">
        <f>IF(ISNUMBER(SEARCH("High",P1)), $P$21/0.1, IF(ISNUMBER(SEARCH("Low",P1)), $P$21/0.1, "No"))</f>
        <v>No</v>
      </c>
      <c r="Q44" s="7" t="str">
        <f>IF(ISNUMBER(SEARCH("High",Q1)), $Q$21/0.1, IF(ISNUMBER(SEARCH("Low",Q1)), $Q$21/0.1, "No"))</f>
        <v>No</v>
      </c>
      <c r="R44" s="7">
        <f>IF(ISNUMBER(SEARCH("High",R1)), $R$21/0.1, IF(ISNUMBER(SEARCH("Low",R1)), $R$21/0.1, "No"))</f>
        <v>1.071</v>
      </c>
      <c r="S44" s="7" t="str">
        <f>IF(ISNUMBER(SEARCH("High",S1)), $S$21/0.1, IF(ISNUMBER(SEARCH("Low",S1)), $S$21/0.1, "No"))</f>
        <v>No</v>
      </c>
      <c r="T44" s="7" t="str">
        <f>IF(ISNUMBER(SEARCH("High",T1)), $T$21/0.1, IF(ISNUMBER(SEARCH("Low",T1)), $T$21/0.1, "No"))</f>
        <v>No</v>
      </c>
      <c r="U44" s="7" t="str">
        <f>IF(ISNUMBER(SEARCH("High",U1)), $U$21/0.1, IF(ISNUMBER(SEARCH("Low",U1)), $U$21/0.1, "No"))</f>
        <v>No</v>
      </c>
      <c r="V44" s="7" t="str">
        <f>IF(ISNUMBER(SEARCH("High",V1)), $V$21/0.1, IF(ISNUMBER(SEARCH("Low",V1)), $V$21/0.1, "No"))</f>
        <v>No</v>
      </c>
      <c r="W44" s="7" t="str">
        <f>IF(ISNUMBER(SEARCH("High",W1)), $W$21/0.1, IF(ISNUMBER(SEARCH("Low",W1)), $W$21/0.1, "No"))</f>
        <v>No</v>
      </c>
      <c r="X44" s="7" t="str">
        <f>IF(ISNUMBER(SEARCH("High",X1)), $X$21/0.1, IF(ISNUMBER(SEARCH("Low",X1)), $X$21/0.1, "No"))</f>
        <v>No</v>
      </c>
      <c r="Y44" s="7" t="str">
        <f>IF(ISNUMBER(SEARCH("High",Y1)), $Y$21/0.1, IF(ISNUMBER(SEARCH("Low",Y1)), $Y$21/0.1, "No"))</f>
        <v>No</v>
      </c>
      <c r="Z44" s="7" t="str">
        <f>IF(ISNUMBER(SEARCH("High",Z1)), $Z$21/0.1, IF(ISNUMBER(SEARCH("Low",Z1)), $Z$21/0.1, "No"))</f>
        <v>No</v>
      </c>
      <c r="AA44" s="7">
        <f>IF(ISNUMBER(SEARCH("High",AA1)), $AA$21/0.1, IF(ISNUMBER(SEARCH("Low",AA1)), $AA$21/0.1, "No"))</f>
        <v>0.99299999999999999</v>
      </c>
      <c r="AB44" s="7">
        <f>IF(ISNUMBER(SEARCH("High",AB1)), $AB$21/0.1, IF(ISNUMBER(SEARCH("Low",AB1)), $AB$21/0.1, "No"))</f>
        <v>1.0820000000000001</v>
      </c>
      <c r="AC44" s="7" t="str">
        <f>IF(ISNUMBER(SEARCH("High",AC1)), $AC$21/0.1, IF(ISNUMBER(SEARCH("Low",AC1)), $AC$21/0.1, "No"))</f>
        <v>No</v>
      </c>
      <c r="AD44" s="7" t="str">
        <f>IF(ISNUMBER(SEARCH("High",AD1)), $AD$21/0.1, IF(ISNUMBER(SEARCH("Low",AD1)), $AD$21/0.1, "No"))</f>
        <v>No</v>
      </c>
      <c r="AE44" s="7" t="str">
        <f>IF(ISNUMBER(SEARCH("High",AE1)), $AE$21/0.1, IF(ISNUMBER(SEARCH("Low",AE1)), $AE$21/0.1, "No"))</f>
        <v>No</v>
      </c>
      <c r="AF44" s="7" t="str">
        <f>IF(ISNUMBER(SEARCH("High",AF1)), $AF$21/0.1, IF(ISNUMBER(SEARCH("Low",AF1)), $AF$21/0.1, "No"))</f>
        <v>No</v>
      </c>
      <c r="AG44" s="7" t="str">
        <f>IF(ISNUMBER(SEARCH("High",AG1)), $AG$21/0.1, IF(ISNUMBER(SEARCH("Low",AG1)), $AG$21/0.1, "No"))</f>
        <v>No</v>
      </c>
      <c r="AH44" s="7" t="str">
        <f>IF(ISNUMBER(SEARCH("High",AH1)), $AH$21/0.1, IF(ISNUMBER(SEARCH("Low",AH1)), $AH$21/0.1, "No"))</f>
        <v>No</v>
      </c>
      <c r="AI44" s="7" t="str">
        <f>IF(ISNUMBER(SEARCH("High",AI1)), $AI$21/0.1, IF(ISNUMBER(SEARCH("Low",AI1)), $AI$21/0.1, "No"))</f>
        <v>No</v>
      </c>
      <c r="AJ44" s="7" t="str">
        <f>IF(ISNUMBER(SEARCH("High",AJ1)), $AJ$21/0.1, IF(ISNUMBER(SEARCH("Low",AJ1)), $AJ$21/0.1, "No"))</f>
        <v>No</v>
      </c>
      <c r="AK44" s="7" t="str">
        <f>IF(ISNUMBER(SEARCH("High",AK1)), $AK$21/0.1, IF(ISNUMBER(SEARCH("Low",AK1)), $AK$21/0.1, "No"))</f>
        <v>No</v>
      </c>
      <c r="AL44" s="7" t="str">
        <f>IF(ISNUMBER(SEARCH("High",AL1)), $AL$21/0.1, IF(ISNUMBER(SEARCH("Low",AL1)), $AL$21/0.1, "No"))</f>
        <v>No</v>
      </c>
      <c r="AM44" s="7">
        <f>IF(ISNUMBER(SEARCH("High",AM1)), $AM$21/0.1, IF(ISNUMBER(SEARCH("Low",AM1)), $AM$21/0.1, "No"))</f>
        <v>1.0089999999999999</v>
      </c>
      <c r="AN44" s="7">
        <f>IF(ISNUMBER(SEARCH("High",AN1)), $AN$21/0.1, IF(ISNUMBER(SEARCH("Low",AN1)), $AN$21/0.1, "No"))</f>
        <v>1.0839999999999999</v>
      </c>
      <c r="AO44" s="7" t="str">
        <f>IF(ISNUMBER(SEARCH("High",AO1)), $AO$21/0.1, IF(ISNUMBER(SEARCH("Low",AO1)), $AO$21/0.1, "No"))</f>
        <v>No</v>
      </c>
      <c r="AP44" s="7" t="str">
        <f>IF(ISNUMBER(SEARCH("High",AP1)), $AP$21/0.1, IF(ISNUMBER(SEARCH("Low",AP1)), $AP$21/0.1, "No"))</f>
        <v>No</v>
      </c>
      <c r="AQ44" s="7" t="str">
        <f>IF(ISNUMBER(SEARCH("High",AQ1)), $AQ$21/0.1, IF(ISNUMBER(SEARCH("Low",AQ1)), $AQ$21/0.1, "No"))</f>
        <v>No</v>
      </c>
      <c r="AR44" s="7" t="str">
        <f>IF(ISNUMBER(SEARCH("High",AR1)), $AR$21/0.1, IF(ISNUMBER(SEARCH("Low",AR1)), $AR$21/0.1, "No"))</f>
        <v>No</v>
      </c>
      <c r="AS44" s="7" t="str">
        <f>IF(ISNUMBER(SEARCH("High",AS1)), $AS$21/0.1, IF(ISNUMBER(SEARCH("Low",AS1)), $AS$21/0.1, "No"))</f>
        <v>No</v>
      </c>
      <c r="AT44" s="7" t="str">
        <f>IF(ISNUMBER(SEARCH("High",AT1)), $AT$21/0.1, IF(ISNUMBER(SEARCH("Low",AT1)), $AT$21/0.1, "No"))</f>
        <v>No</v>
      </c>
      <c r="AU44" s="7">
        <f>IF(ISNUMBER(SEARCH("High",AU1)), $AU$21/0.1, IF(ISNUMBER(SEARCH("Low",AU1)), $AU$21/0.1, "No"))</f>
        <v>1.0109999999999999</v>
      </c>
      <c r="AV44" s="7">
        <f>IF(ISNUMBER(SEARCH("High",AV1)), $AV$21/0.1, IF(ISNUMBER(SEARCH("Low",AV1)), $AV$21/0.1, "No"))</f>
        <v>1.087</v>
      </c>
    </row>
  </sheetData>
  <mergeCells count="1">
    <mergeCell ref="A1:C1"/>
  </mergeCells>
  <conditionalFormatting sqref="D25">
    <cfRule type="cellIs" dxfId="2808" priority="2698" stopIfTrue="1" operator="greaterThan">
      <formula>1.2</formula>
    </cfRule>
    <cfRule type="cellIs" dxfId="2807" priority="2699" stopIfTrue="1" operator="lessThan">
      <formula>0.8</formula>
    </cfRule>
    <cfRule type="cellIs" dxfId="2806" priority="2700" stopIfTrue="1" operator="between">
      <formula>0.8</formula>
      <formula>1.2</formula>
    </cfRule>
  </conditionalFormatting>
  <conditionalFormatting sqref="D26">
    <cfRule type="cellIs" dxfId="2805" priority="2695" stopIfTrue="1" operator="greaterThan">
      <formula>1.2</formula>
    </cfRule>
    <cfRule type="cellIs" dxfId="2804" priority="2696" stopIfTrue="1" operator="lessThan">
      <formula>0.8</formula>
    </cfRule>
    <cfRule type="cellIs" dxfId="2803" priority="2697" stopIfTrue="1" operator="between">
      <formula>0.8</formula>
      <formula>1.2</formula>
    </cfRule>
  </conditionalFormatting>
  <conditionalFormatting sqref="D27">
    <cfRule type="cellIs" dxfId="2802" priority="2692" stopIfTrue="1" operator="greaterThan">
      <formula>1.2</formula>
    </cfRule>
    <cfRule type="cellIs" dxfId="2801" priority="2693" stopIfTrue="1" operator="lessThan">
      <formula>0.8</formula>
    </cfRule>
    <cfRule type="cellIs" dxfId="2800" priority="2694" stopIfTrue="1" operator="between">
      <formula>0.8</formula>
      <formula>1.2</formula>
    </cfRule>
  </conditionalFormatting>
  <conditionalFormatting sqref="D28">
    <cfRule type="cellIs" dxfId="2799" priority="2689" stopIfTrue="1" operator="greaterThan">
      <formula>1.2</formula>
    </cfRule>
    <cfRule type="cellIs" dxfId="2798" priority="2690" stopIfTrue="1" operator="lessThan">
      <formula>0.8</formula>
    </cfRule>
    <cfRule type="cellIs" dxfId="2797" priority="2691" stopIfTrue="1" operator="between">
      <formula>0.8</formula>
      <formula>1.2</formula>
    </cfRule>
  </conditionalFormatting>
  <conditionalFormatting sqref="D29">
    <cfRule type="cellIs" dxfId="2796" priority="2686" stopIfTrue="1" operator="greaterThan">
      <formula>1.2</formula>
    </cfRule>
    <cfRule type="cellIs" dxfId="2795" priority="2687" stopIfTrue="1" operator="lessThan">
      <formula>0.8</formula>
    </cfRule>
    <cfRule type="cellIs" dxfId="2794" priority="2688" stopIfTrue="1" operator="between">
      <formula>0.8</formula>
      <formula>1.2</formula>
    </cfRule>
  </conditionalFormatting>
  <conditionalFormatting sqref="D30">
    <cfRule type="cellIs" dxfId="2793" priority="2683" stopIfTrue="1" operator="greaterThan">
      <formula>1.2</formula>
    </cfRule>
    <cfRule type="cellIs" dxfId="2792" priority="2684" stopIfTrue="1" operator="lessThan">
      <formula>0.8</formula>
    </cfRule>
    <cfRule type="cellIs" dxfId="2791" priority="2685" stopIfTrue="1" operator="between">
      <formula>0.8</formula>
      <formula>1.2</formula>
    </cfRule>
  </conditionalFormatting>
  <conditionalFormatting sqref="D31">
    <cfRule type="cellIs" dxfId="2790" priority="2680" stopIfTrue="1" operator="greaterThan">
      <formula>1.2</formula>
    </cfRule>
    <cfRule type="cellIs" dxfId="2789" priority="2681" stopIfTrue="1" operator="lessThan">
      <formula>0.8</formula>
    </cfRule>
    <cfRule type="cellIs" dxfId="2788" priority="2682" stopIfTrue="1" operator="between">
      <formula>0.8</formula>
      <formula>1.2</formula>
    </cfRule>
  </conditionalFormatting>
  <conditionalFormatting sqref="D32">
    <cfRule type="cellIs" dxfId="2787" priority="2677" stopIfTrue="1" operator="greaterThan">
      <formula>1.2</formula>
    </cfRule>
    <cfRule type="cellIs" dxfId="2786" priority="2678" stopIfTrue="1" operator="lessThan">
      <formula>0.8</formula>
    </cfRule>
    <cfRule type="cellIs" dxfId="2785" priority="2679" stopIfTrue="1" operator="between">
      <formula>0.8</formula>
      <formula>1.2</formula>
    </cfRule>
  </conditionalFormatting>
  <conditionalFormatting sqref="D33">
    <cfRule type="cellIs" dxfId="2784" priority="2674" stopIfTrue="1" operator="greaterThan">
      <formula>1.2</formula>
    </cfRule>
    <cfRule type="cellIs" dxfId="2783" priority="2675" stopIfTrue="1" operator="lessThan">
      <formula>0.8</formula>
    </cfRule>
    <cfRule type="cellIs" dxfId="2782" priority="2676" stopIfTrue="1" operator="between">
      <formula>0.8</formula>
      <formula>1.2</formula>
    </cfRule>
  </conditionalFormatting>
  <conditionalFormatting sqref="D34">
    <cfRule type="cellIs" dxfId="2781" priority="2671" stopIfTrue="1" operator="greaterThan">
      <formula>1.2</formula>
    </cfRule>
    <cfRule type="cellIs" dxfId="2780" priority="2672" stopIfTrue="1" operator="lessThan">
      <formula>0.8</formula>
    </cfRule>
    <cfRule type="cellIs" dxfId="2779" priority="2673" stopIfTrue="1" operator="between">
      <formula>0.8</formula>
      <formula>1.2</formula>
    </cfRule>
  </conditionalFormatting>
  <conditionalFormatting sqref="D35">
    <cfRule type="cellIs" dxfId="2778" priority="2668" stopIfTrue="1" operator="greaterThan">
      <formula>1.2</formula>
    </cfRule>
    <cfRule type="cellIs" dxfId="2777" priority="2669" stopIfTrue="1" operator="lessThan">
      <formula>0.8</formula>
    </cfRule>
    <cfRule type="cellIs" dxfId="2776" priority="2670" stopIfTrue="1" operator="between">
      <formula>0.8</formula>
      <formula>1.2</formula>
    </cfRule>
  </conditionalFormatting>
  <conditionalFormatting sqref="D36">
    <cfRule type="cellIs" dxfId="2775" priority="2665" stopIfTrue="1" operator="greaterThan">
      <formula>1.2</formula>
    </cfRule>
    <cfRule type="cellIs" dxfId="2774" priority="2666" stopIfTrue="1" operator="lessThan">
      <formula>0.8</formula>
    </cfRule>
    <cfRule type="cellIs" dxfId="2773" priority="2667" stopIfTrue="1" operator="between">
      <formula>0.8</formula>
      <formula>1.2</formula>
    </cfRule>
  </conditionalFormatting>
  <conditionalFormatting sqref="D37">
    <cfRule type="cellIs" dxfId="2772" priority="2662" stopIfTrue="1" operator="greaterThan">
      <formula>1.2</formula>
    </cfRule>
    <cfRule type="cellIs" dxfId="2771" priority="2663" stopIfTrue="1" operator="lessThan">
      <formula>0.8</formula>
    </cfRule>
    <cfRule type="cellIs" dxfId="2770" priority="2664" stopIfTrue="1" operator="between">
      <formula>0.8</formula>
      <formula>1.2</formula>
    </cfRule>
  </conditionalFormatting>
  <conditionalFormatting sqref="D38">
    <cfRule type="cellIs" dxfId="2769" priority="2659" stopIfTrue="1" operator="greaterThan">
      <formula>1.2</formula>
    </cfRule>
    <cfRule type="cellIs" dxfId="2768" priority="2660" stopIfTrue="1" operator="lessThan">
      <formula>0.8</formula>
    </cfRule>
    <cfRule type="cellIs" dxfId="2767" priority="2661" stopIfTrue="1" operator="between">
      <formula>0.8</formula>
      <formula>1.2</formula>
    </cfRule>
  </conditionalFormatting>
  <conditionalFormatting sqref="D39">
    <cfRule type="cellIs" dxfId="2766" priority="2656" stopIfTrue="1" operator="greaterThan">
      <formula>1.2</formula>
    </cfRule>
    <cfRule type="cellIs" dxfId="2765" priority="2657" stopIfTrue="1" operator="lessThan">
      <formula>0.8</formula>
    </cfRule>
    <cfRule type="cellIs" dxfId="2764" priority="2658" stopIfTrue="1" operator="between">
      <formula>0.8</formula>
      <formula>1.2</formula>
    </cfRule>
  </conditionalFormatting>
  <conditionalFormatting sqref="D40">
    <cfRule type="cellIs" dxfId="2763" priority="2653" stopIfTrue="1" operator="greaterThan">
      <formula>1.2</formula>
    </cfRule>
    <cfRule type="cellIs" dxfId="2762" priority="2654" stopIfTrue="1" operator="lessThan">
      <formula>0.8</formula>
    </cfRule>
    <cfRule type="cellIs" dxfId="2761" priority="2655" stopIfTrue="1" operator="between">
      <formula>0.8</formula>
      <formula>1.2</formula>
    </cfRule>
  </conditionalFormatting>
  <conditionalFormatting sqref="D41">
    <cfRule type="cellIs" dxfId="2760" priority="2650" stopIfTrue="1" operator="greaterThan">
      <formula>1.2</formula>
    </cfRule>
    <cfRule type="cellIs" dxfId="2759" priority="2651" stopIfTrue="1" operator="lessThan">
      <formula>0.8</formula>
    </cfRule>
    <cfRule type="cellIs" dxfId="2758" priority="2652" stopIfTrue="1" operator="between">
      <formula>0.8</formula>
      <formula>1.2</formula>
    </cfRule>
  </conditionalFormatting>
  <conditionalFormatting sqref="D42">
    <cfRule type="cellIs" dxfId="2757" priority="2647" stopIfTrue="1" operator="greaterThan">
      <formula>1.2</formula>
    </cfRule>
    <cfRule type="cellIs" dxfId="2756" priority="2648" stopIfTrue="1" operator="lessThan">
      <formula>0.8</formula>
    </cfRule>
    <cfRule type="cellIs" dxfId="2755" priority="2649" stopIfTrue="1" operator="between">
      <formula>0.8</formula>
      <formula>1.2</formula>
    </cfRule>
  </conditionalFormatting>
  <conditionalFormatting sqref="D43">
    <cfRule type="cellIs" dxfId="2754" priority="2644" stopIfTrue="1" operator="greaterThan">
      <formula>1.2</formula>
    </cfRule>
    <cfRule type="cellIs" dxfId="2753" priority="2645" stopIfTrue="1" operator="lessThan">
      <formula>0.8</formula>
    </cfRule>
    <cfRule type="cellIs" dxfId="2752" priority="2646" stopIfTrue="1" operator="between">
      <formula>0.8</formula>
      <formula>1.2</formula>
    </cfRule>
  </conditionalFormatting>
  <conditionalFormatting sqref="D44">
    <cfRule type="cellIs" dxfId="2751" priority="2641" stopIfTrue="1" operator="greaterThan">
      <formula>1.2</formula>
    </cfRule>
    <cfRule type="cellIs" dxfId="2750" priority="2642" stopIfTrue="1" operator="lessThan">
      <formula>0.8</formula>
    </cfRule>
    <cfRule type="cellIs" dxfId="2749" priority="2643" stopIfTrue="1" operator="between">
      <formula>0.8</formula>
      <formula>1.2</formula>
    </cfRule>
  </conditionalFormatting>
  <conditionalFormatting sqref="E25">
    <cfRule type="cellIs" dxfId="2748" priority="2638" stopIfTrue="1" operator="greaterThan">
      <formula>1.2</formula>
    </cfRule>
    <cfRule type="cellIs" dxfId="2747" priority="2639" stopIfTrue="1" operator="lessThan">
      <formula>0.8</formula>
    </cfRule>
    <cfRule type="cellIs" dxfId="2746" priority="2640" stopIfTrue="1" operator="between">
      <formula>0.8</formula>
      <formula>1.2</formula>
    </cfRule>
  </conditionalFormatting>
  <conditionalFormatting sqref="E26">
    <cfRule type="cellIs" dxfId="2745" priority="2635" stopIfTrue="1" operator="greaterThan">
      <formula>1.2</formula>
    </cfRule>
    <cfRule type="cellIs" dxfId="2744" priority="2636" stopIfTrue="1" operator="lessThan">
      <formula>0.8</formula>
    </cfRule>
    <cfRule type="cellIs" dxfId="2743" priority="2637" stopIfTrue="1" operator="between">
      <formula>0.8</formula>
      <formula>1.2</formula>
    </cfRule>
  </conditionalFormatting>
  <conditionalFormatting sqref="E27">
    <cfRule type="cellIs" dxfId="2742" priority="2632" stopIfTrue="1" operator="greaterThan">
      <formula>1.2</formula>
    </cfRule>
    <cfRule type="cellIs" dxfId="2741" priority="2633" stopIfTrue="1" operator="lessThan">
      <formula>0.8</formula>
    </cfRule>
    <cfRule type="cellIs" dxfId="2740" priority="2634" stopIfTrue="1" operator="between">
      <formula>0.8</formula>
      <formula>1.2</formula>
    </cfRule>
  </conditionalFormatting>
  <conditionalFormatting sqref="E28">
    <cfRule type="cellIs" dxfId="2739" priority="2629" stopIfTrue="1" operator="greaterThan">
      <formula>1.2</formula>
    </cfRule>
    <cfRule type="cellIs" dxfId="2738" priority="2630" stopIfTrue="1" operator="lessThan">
      <formula>0.8</formula>
    </cfRule>
    <cfRule type="cellIs" dxfId="2737" priority="2631" stopIfTrue="1" operator="between">
      <formula>0.8</formula>
      <formula>1.2</formula>
    </cfRule>
  </conditionalFormatting>
  <conditionalFormatting sqref="E29">
    <cfRule type="cellIs" dxfId="2736" priority="2626" stopIfTrue="1" operator="greaterThan">
      <formula>1.2</formula>
    </cfRule>
    <cfRule type="cellIs" dxfId="2735" priority="2627" stopIfTrue="1" operator="lessThan">
      <formula>0.8</formula>
    </cfRule>
    <cfRule type="cellIs" dxfId="2734" priority="2628" stopIfTrue="1" operator="between">
      <formula>0.8</formula>
      <formula>1.2</formula>
    </cfRule>
  </conditionalFormatting>
  <conditionalFormatting sqref="E30">
    <cfRule type="cellIs" dxfId="2733" priority="2623" stopIfTrue="1" operator="greaterThan">
      <formula>1.2</formula>
    </cfRule>
    <cfRule type="cellIs" dxfId="2732" priority="2624" stopIfTrue="1" operator="lessThan">
      <formula>0.8</formula>
    </cfRule>
    <cfRule type="cellIs" dxfId="2731" priority="2625" stopIfTrue="1" operator="between">
      <formula>0.8</formula>
      <formula>1.2</formula>
    </cfRule>
  </conditionalFormatting>
  <conditionalFormatting sqref="E31">
    <cfRule type="cellIs" dxfId="2730" priority="2620" stopIfTrue="1" operator="greaterThan">
      <formula>1.2</formula>
    </cfRule>
    <cfRule type="cellIs" dxfId="2729" priority="2621" stopIfTrue="1" operator="lessThan">
      <formula>0.8</formula>
    </cfRule>
    <cfRule type="cellIs" dxfId="2728" priority="2622" stopIfTrue="1" operator="between">
      <formula>0.8</formula>
      <formula>1.2</formula>
    </cfRule>
  </conditionalFormatting>
  <conditionalFormatting sqref="E32">
    <cfRule type="cellIs" dxfId="2727" priority="2617" stopIfTrue="1" operator="greaterThan">
      <formula>1.2</formula>
    </cfRule>
    <cfRule type="cellIs" dxfId="2726" priority="2618" stopIfTrue="1" operator="lessThan">
      <formula>0.8</formula>
    </cfRule>
    <cfRule type="cellIs" dxfId="2725" priority="2619" stopIfTrue="1" operator="between">
      <formula>0.8</formula>
      <formula>1.2</formula>
    </cfRule>
  </conditionalFormatting>
  <conditionalFormatting sqref="E33">
    <cfRule type="cellIs" dxfId="2724" priority="2614" stopIfTrue="1" operator="greaterThan">
      <formula>1.2</formula>
    </cfRule>
    <cfRule type="cellIs" dxfId="2723" priority="2615" stopIfTrue="1" operator="lessThan">
      <formula>0.8</formula>
    </cfRule>
    <cfRule type="cellIs" dxfId="2722" priority="2616" stopIfTrue="1" operator="between">
      <formula>0.8</formula>
      <formula>1.2</formula>
    </cfRule>
  </conditionalFormatting>
  <conditionalFormatting sqref="E34">
    <cfRule type="cellIs" dxfId="2721" priority="2613" stopIfTrue="1" operator="between">
      <formula>0.8</formula>
      <formula>1.2</formula>
    </cfRule>
  </conditionalFormatting>
  <conditionalFormatting sqref="E34">
    <cfRule type="cellIs" dxfId="2720" priority="2612" stopIfTrue="1" operator="lessThan">
      <formula>0.8</formula>
    </cfRule>
  </conditionalFormatting>
  <conditionalFormatting sqref="E34">
    <cfRule type="cellIs" dxfId="2719" priority="2611" stopIfTrue="1" operator="greaterThan">
      <formula>1.2</formula>
    </cfRule>
  </conditionalFormatting>
  <conditionalFormatting sqref="E35">
    <cfRule type="cellIs" dxfId="2718" priority="2610" stopIfTrue="1" operator="between">
      <formula>0.8</formula>
      <formula>1.2</formula>
    </cfRule>
  </conditionalFormatting>
  <conditionalFormatting sqref="E35">
    <cfRule type="cellIs" dxfId="2717" priority="2609" stopIfTrue="1" operator="lessThan">
      <formula>0.8</formula>
    </cfRule>
  </conditionalFormatting>
  <conditionalFormatting sqref="E35">
    <cfRule type="cellIs" dxfId="2716" priority="2608" stopIfTrue="1" operator="greaterThan">
      <formula>1.2</formula>
    </cfRule>
  </conditionalFormatting>
  <conditionalFormatting sqref="E36">
    <cfRule type="cellIs" dxfId="2715" priority="2607" stopIfTrue="1" operator="between">
      <formula>0.8</formula>
      <formula>1.2</formula>
    </cfRule>
  </conditionalFormatting>
  <conditionalFormatting sqref="E36">
    <cfRule type="cellIs" dxfId="2714" priority="2606" stopIfTrue="1" operator="lessThan">
      <formula>0.8</formula>
    </cfRule>
  </conditionalFormatting>
  <conditionalFormatting sqref="E36">
    <cfRule type="cellIs" dxfId="2713" priority="2605" stopIfTrue="1" operator="greaterThan">
      <formula>1.2</formula>
    </cfRule>
  </conditionalFormatting>
  <conditionalFormatting sqref="E37">
    <cfRule type="cellIs" dxfId="2712" priority="2604" stopIfTrue="1" operator="between">
      <formula>0.8</formula>
      <formula>1.2</formula>
    </cfRule>
  </conditionalFormatting>
  <conditionalFormatting sqref="E37">
    <cfRule type="cellIs" dxfId="2711" priority="2603" stopIfTrue="1" operator="lessThan">
      <formula>0.8</formula>
    </cfRule>
  </conditionalFormatting>
  <conditionalFormatting sqref="E37">
    <cfRule type="cellIs" dxfId="2710" priority="2602" stopIfTrue="1" operator="greaterThan">
      <formula>1.2</formula>
    </cfRule>
  </conditionalFormatting>
  <conditionalFormatting sqref="E38">
    <cfRule type="cellIs" dxfId="2709" priority="2601" stopIfTrue="1" operator="between">
      <formula>0.8</formula>
      <formula>1.2</formula>
    </cfRule>
  </conditionalFormatting>
  <conditionalFormatting sqref="E38">
    <cfRule type="cellIs" dxfId="2708" priority="2600" stopIfTrue="1" operator="lessThan">
      <formula>0.8</formula>
    </cfRule>
  </conditionalFormatting>
  <conditionalFormatting sqref="E38">
    <cfRule type="cellIs" dxfId="2707" priority="2599" stopIfTrue="1" operator="greaterThan">
      <formula>1.2</formula>
    </cfRule>
  </conditionalFormatting>
  <conditionalFormatting sqref="E39">
    <cfRule type="cellIs" dxfId="2706" priority="2598" stopIfTrue="1" operator="between">
      <formula>0.8</formula>
      <formula>1.2</formula>
    </cfRule>
  </conditionalFormatting>
  <conditionalFormatting sqref="E39">
    <cfRule type="cellIs" dxfId="2705" priority="2597" stopIfTrue="1" operator="lessThan">
      <formula>0.8</formula>
    </cfRule>
  </conditionalFormatting>
  <conditionalFormatting sqref="E39">
    <cfRule type="cellIs" dxfId="2704" priority="2596" stopIfTrue="1" operator="greaterThan">
      <formula>1.2</formula>
    </cfRule>
  </conditionalFormatting>
  <conditionalFormatting sqref="E40">
    <cfRule type="cellIs" dxfId="2703" priority="2595" stopIfTrue="1" operator="between">
      <formula>0.8</formula>
      <formula>1.2</formula>
    </cfRule>
  </conditionalFormatting>
  <conditionalFormatting sqref="E40">
    <cfRule type="cellIs" dxfId="2702" priority="2594" stopIfTrue="1" operator="lessThan">
      <formula>0.8</formula>
    </cfRule>
  </conditionalFormatting>
  <conditionalFormatting sqref="E40">
    <cfRule type="cellIs" dxfId="2701" priority="2593" stopIfTrue="1" operator="greaterThan">
      <formula>1.2</formula>
    </cfRule>
  </conditionalFormatting>
  <conditionalFormatting sqref="E41">
    <cfRule type="cellIs" dxfId="2700" priority="2592" stopIfTrue="1" operator="between">
      <formula>0.8</formula>
      <formula>1.2</formula>
    </cfRule>
  </conditionalFormatting>
  <conditionalFormatting sqref="E41">
    <cfRule type="cellIs" dxfId="2699" priority="2591" stopIfTrue="1" operator="lessThan">
      <formula>0.8</formula>
    </cfRule>
  </conditionalFormatting>
  <conditionalFormatting sqref="E41">
    <cfRule type="cellIs" dxfId="2698" priority="2590" stopIfTrue="1" operator="greaterThan">
      <formula>1.2</formula>
    </cfRule>
  </conditionalFormatting>
  <conditionalFormatting sqref="E42">
    <cfRule type="cellIs" dxfId="2697" priority="2589" stopIfTrue="1" operator="between">
      <formula>0.8</formula>
      <formula>1.2</formula>
    </cfRule>
  </conditionalFormatting>
  <conditionalFormatting sqref="E42">
    <cfRule type="cellIs" dxfId="2696" priority="2588" stopIfTrue="1" operator="lessThan">
      <formula>0.8</formula>
    </cfRule>
  </conditionalFormatting>
  <conditionalFormatting sqref="E42">
    <cfRule type="cellIs" dxfId="2695" priority="2587" stopIfTrue="1" operator="greaterThan">
      <formula>1.2</formula>
    </cfRule>
  </conditionalFormatting>
  <conditionalFormatting sqref="E43">
    <cfRule type="cellIs" dxfId="2694" priority="2586" stopIfTrue="1" operator="between">
      <formula>0.8</formula>
      <formula>1.2</formula>
    </cfRule>
  </conditionalFormatting>
  <conditionalFormatting sqref="E43">
    <cfRule type="cellIs" dxfId="2693" priority="2585" stopIfTrue="1" operator="lessThan">
      <formula>0.8</formula>
    </cfRule>
  </conditionalFormatting>
  <conditionalFormatting sqref="E43">
    <cfRule type="cellIs" dxfId="2692" priority="2584" stopIfTrue="1" operator="greaterThan">
      <formula>1.2</formula>
    </cfRule>
  </conditionalFormatting>
  <conditionalFormatting sqref="E44">
    <cfRule type="cellIs" dxfId="2691" priority="2583" stopIfTrue="1" operator="between">
      <formula>0.8</formula>
      <formula>1.2</formula>
    </cfRule>
  </conditionalFormatting>
  <conditionalFormatting sqref="E44">
    <cfRule type="cellIs" dxfId="2690" priority="2582" stopIfTrue="1" operator="lessThan">
      <formula>0.8</formula>
    </cfRule>
  </conditionalFormatting>
  <conditionalFormatting sqref="E44">
    <cfRule type="cellIs" dxfId="2689" priority="2581" stopIfTrue="1" operator="greaterThan">
      <formula>1.2</formula>
    </cfRule>
  </conditionalFormatting>
  <conditionalFormatting sqref="F25">
    <cfRule type="cellIs" dxfId="2688" priority="2578" stopIfTrue="1" operator="greaterThan">
      <formula>1.2</formula>
    </cfRule>
    <cfRule type="cellIs" dxfId="2687" priority="2579" stopIfTrue="1" operator="lessThan">
      <formula>0.8</formula>
    </cfRule>
    <cfRule type="cellIs" dxfId="2686" priority="2580" stopIfTrue="1" operator="between">
      <formula>0.8</formula>
      <formula>1.2</formula>
    </cfRule>
  </conditionalFormatting>
  <conditionalFormatting sqref="F26">
    <cfRule type="cellIs" dxfId="2685" priority="2575" stopIfTrue="1" operator="greaterThan">
      <formula>1.2</formula>
    </cfRule>
    <cfRule type="cellIs" dxfId="2684" priority="2576" stopIfTrue="1" operator="lessThan">
      <formula>0.8</formula>
    </cfRule>
    <cfRule type="cellIs" dxfId="2683" priority="2577" stopIfTrue="1" operator="between">
      <formula>0.8</formula>
      <formula>1.2</formula>
    </cfRule>
  </conditionalFormatting>
  <conditionalFormatting sqref="F27">
    <cfRule type="cellIs" dxfId="2682" priority="2572" stopIfTrue="1" operator="greaterThan">
      <formula>1.2</formula>
    </cfRule>
    <cfRule type="cellIs" dxfId="2681" priority="2573" stopIfTrue="1" operator="lessThan">
      <formula>0.8</formula>
    </cfRule>
    <cfRule type="cellIs" dxfId="2680" priority="2574" stopIfTrue="1" operator="between">
      <formula>0.8</formula>
      <formula>1.2</formula>
    </cfRule>
  </conditionalFormatting>
  <conditionalFormatting sqref="F28">
    <cfRule type="cellIs" dxfId="2679" priority="2569" stopIfTrue="1" operator="greaterThan">
      <formula>1.2</formula>
    </cfRule>
    <cfRule type="cellIs" dxfId="2678" priority="2570" stopIfTrue="1" operator="lessThan">
      <formula>0.8</formula>
    </cfRule>
    <cfRule type="cellIs" dxfId="2677" priority="2571" stopIfTrue="1" operator="between">
      <formula>0.8</formula>
      <formula>1.2</formula>
    </cfRule>
  </conditionalFormatting>
  <conditionalFormatting sqref="F29">
    <cfRule type="cellIs" dxfId="2676" priority="2566" stopIfTrue="1" operator="greaterThan">
      <formula>1.2</formula>
    </cfRule>
    <cfRule type="cellIs" dxfId="2675" priority="2567" stopIfTrue="1" operator="lessThan">
      <formula>0.8</formula>
    </cfRule>
    <cfRule type="cellIs" dxfId="2674" priority="2568" stopIfTrue="1" operator="between">
      <formula>0.8</formula>
      <formula>1.2</formula>
    </cfRule>
  </conditionalFormatting>
  <conditionalFormatting sqref="F30">
    <cfRule type="cellIs" dxfId="2673" priority="2565" stopIfTrue="1" operator="between">
      <formula>0.8</formula>
      <formula>1.2</formula>
    </cfRule>
  </conditionalFormatting>
  <conditionalFormatting sqref="F30">
    <cfRule type="cellIs" dxfId="2672" priority="2564" stopIfTrue="1" operator="lessThan">
      <formula>0.8</formula>
    </cfRule>
  </conditionalFormatting>
  <conditionalFormatting sqref="F30">
    <cfRule type="cellIs" dxfId="2671" priority="2563" stopIfTrue="1" operator="greaterThan">
      <formula>1.2</formula>
    </cfRule>
  </conditionalFormatting>
  <conditionalFormatting sqref="F31">
    <cfRule type="cellIs" dxfId="2670" priority="2562" stopIfTrue="1" operator="between">
      <formula>0.8</formula>
      <formula>1.2</formula>
    </cfRule>
  </conditionalFormatting>
  <conditionalFormatting sqref="F31">
    <cfRule type="cellIs" dxfId="2669" priority="2561" stopIfTrue="1" operator="lessThan">
      <formula>0.8</formula>
    </cfRule>
  </conditionalFormatting>
  <conditionalFormatting sqref="F31">
    <cfRule type="cellIs" dxfId="2668" priority="2560" stopIfTrue="1" operator="greaterThan">
      <formula>1.2</formula>
    </cfRule>
  </conditionalFormatting>
  <conditionalFormatting sqref="F32">
    <cfRule type="cellIs" dxfId="2667" priority="2559" stopIfTrue="1" operator="between">
      <formula>0.8</formula>
      <formula>1.2</formula>
    </cfRule>
  </conditionalFormatting>
  <conditionalFormatting sqref="F32">
    <cfRule type="cellIs" dxfId="2666" priority="2558" stopIfTrue="1" operator="lessThan">
      <formula>0.8</formula>
    </cfRule>
  </conditionalFormatting>
  <conditionalFormatting sqref="F32">
    <cfRule type="cellIs" dxfId="2665" priority="2557" stopIfTrue="1" operator="greaterThan">
      <formula>1.2</formula>
    </cfRule>
  </conditionalFormatting>
  <conditionalFormatting sqref="F33">
    <cfRule type="cellIs" dxfId="2664" priority="2556" stopIfTrue="1" operator="between">
      <formula>0.8</formula>
      <formula>1.2</formula>
    </cfRule>
  </conditionalFormatting>
  <conditionalFormatting sqref="F33">
    <cfRule type="cellIs" dxfId="2663" priority="2555" stopIfTrue="1" operator="lessThan">
      <formula>0.8</formula>
    </cfRule>
  </conditionalFormatting>
  <conditionalFormatting sqref="F33">
    <cfRule type="cellIs" dxfId="2662" priority="2554" stopIfTrue="1" operator="greaterThan">
      <formula>1.2</formula>
    </cfRule>
  </conditionalFormatting>
  <conditionalFormatting sqref="F34">
    <cfRule type="cellIs" dxfId="2661" priority="2553" stopIfTrue="1" operator="between">
      <formula>0.8</formula>
      <formula>1.2</formula>
    </cfRule>
  </conditionalFormatting>
  <conditionalFormatting sqref="F34">
    <cfRule type="cellIs" dxfId="2660" priority="2552" stopIfTrue="1" operator="lessThan">
      <formula>0.8</formula>
    </cfRule>
  </conditionalFormatting>
  <conditionalFormatting sqref="F34">
    <cfRule type="cellIs" dxfId="2659" priority="2551" stopIfTrue="1" operator="greaterThan">
      <formula>1.2</formula>
    </cfRule>
  </conditionalFormatting>
  <conditionalFormatting sqref="F35">
    <cfRule type="cellIs" dxfId="2658" priority="2550" stopIfTrue="1" operator="between">
      <formula>0.8</formula>
      <formula>1.2</formula>
    </cfRule>
  </conditionalFormatting>
  <conditionalFormatting sqref="F35">
    <cfRule type="cellIs" dxfId="2657" priority="2549" stopIfTrue="1" operator="lessThan">
      <formula>0.8</formula>
    </cfRule>
  </conditionalFormatting>
  <conditionalFormatting sqref="F35">
    <cfRule type="cellIs" dxfId="2656" priority="2548" stopIfTrue="1" operator="greaterThan">
      <formula>1.2</formula>
    </cfRule>
  </conditionalFormatting>
  <conditionalFormatting sqref="F36">
    <cfRule type="cellIs" dxfId="2655" priority="2547" stopIfTrue="1" operator="between">
      <formula>0.8</formula>
      <formula>1.2</formula>
    </cfRule>
  </conditionalFormatting>
  <conditionalFormatting sqref="F36">
    <cfRule type="cellIs" dxfId="2654" priority="2546" stopIfTrue="1" operator="lessThan">
      <formula>0.8</formula>
    </cfRule>
  </conditionalFormatting>
  <conditionalFormatting sqref="F36">
    <cfRule type="cellIs" dxfId="2653" priority="2545" stopIfTrue="1" operator="greaterThan">
      <formula>1.2</formula>
    </cfRule>
  </conditionalFormatting>
  <conditionalFormatting sqref="F37">
    <cfRule type="cellIs" dxfId="2652" priority="2544" stopIfTrue="1" operator="between">
      <formula>0.8</formula>
      <formula>1.2</formula>
    </cfRule>
  </conditionalFormatting>
  <conditionalFormatting sqref="F37">
    <cfRule type="cellIs" dxfId="2651" priority="2543" stopIfTrue="1" operator="lessThan">
      <formula>0.8</formula>
    </cfRule>
  </conditionalFormatting>
  <conditionalFormatting sqref="F37">
    <cfRule type="cellIs" dxfId="2650" priority="2542" stopIfTrue="1" operator="greaterThan">
      <formula>1.2</formula>
    </cfRule>
  </conditionalFormatting>
  <conditionalFormatting sqref="F38">
    <cfRule type="cellIs" dxfId="2649" priority="2541" stopIfTrue="1" operator="between">
      <formula>0.8</formula>
      <formula>1.2</formula>
    </cfRule>
  </conditionalFormatting>
  <conditionalFormatting sqref="F38">
    <cfRule type="cellIs" dxfId="2648" priority="2540" stopIfTrue="1" operator="lessThan">
      <formula>0.8</formula>
    </cfRule>
  </conditionalFormatting>
  <conditionalFormatting sqref="F38">
    <cfRule type="cellIs" dxfId="2647" priority="2539" stopIfTrue="1" operator="greaterThan">
      <formula>1.2</formula>
    </cfRule>
  </conditionalFormatting>
  <conditionalFormatting sqref="F39">
    <cfRule type="cellIs" dxfId="2646" priority="2538" stopIfTrue="1" operator="between">
      <formula>0.8</formula>
      <formula>1.2</formula>
    </cfRule>
  </conditionalFormatting>
  <conditionalFormatting sqref="F39">
    <cfRule type="cellIs" dxfId="2645" priority="2537" stopIfTrue="1" operator="lessThan">
      <formula>0.8</formula>
    </cfRule>
  </conditionalFormatting>
  <conditionalFormatting sqref="F39">
    <cfRule type="cellIs" dxfId="2644" priority="2536" stopIfTrue="1" operator="greaterThan">
      <formula>1.2</formula>
    </cfRule>
  </conditionalFormatting>
  <conditionalFormatting sqref="F40">
    <cfRule type="cellIs" dxfId="2643" priority="2535" stopIfTrue="1" operator="between">
      <formula>0.8</formula>
      <formula>1.2</formula>
    </cfRule>
  </conditionalFormatting>
  <conditionalFormatting sqref="F40">
    <cfRule type="cellIs" dxfId="2642" priority="2534" stopIfTrue="1" operator="lessThan">
      <formula>0.8</formula>
    </cfRule>
  </conditionalFormatting>
  <conditionalFormatting sqref="F40">
    <cfRule type="cellIs" dxfId="2641" priority="2533" stopIfTrue="1" operator="greaterThan">
      <formula>1.2</formula>
    </cfRule>
  </conditionalFormatting>
  <conditionalFormatting sqref="F41">
    <cfRule type="cellIs" dxfId="2640" priority="2532" stopIfTrue="1" operator="between">
      <formula>0.8</formula>
      <formula>1.2</formula>
    </cfRule>
  </conditionalFormatting>
  <conditionalFormatting sqref="F41">
    <cfRule type="cellIs" dxfId="2639" priority="2531" stopIfTrue="1" operator="lessThan">
      <formula>0.8</formula>
    </cfRule>
  </conditionalFormatting>
  <conditionalFormatting sqref="F41">
    <cfRule type="cellIs" dxfId="2638" priority="2530" stopIfTrue="1" operator="greaterThan">
      <formula>1.2</formula>
    </cfRule>
  </conditionalFormatting>
  <conditionalFormatting sqref="F42">
    <cfRule type="cellIs" dxfId="2637" priority="2529" stopIfTrue="1" operator="between">
      <formula>0.8</formula>
      <formula>1.2</formula>
    </cfRule>
  </conditionalFormatting>
  <conditionalFormatting sqref="F42">
    <cfRule type="cellIs" dxfId="2636" priority="2528" stopIfTrue="1" operator="lessThan">
      <formula>0.8</formula>
    </cfRule>
  </conditionalFormatting>
  <conditionalFormatting sqref="F42">
    <cfRule type="cellIs" dxfId="2635" priority="2527" stopIfTrue="1" operator="greaterThan">
      <formula>1.2</formula>
    </cfRule>
  </conditionalFormatting>
  <conditionalFormatting sqref="F43">
    <cfRule type="cellIs" dxfId="2634" priority="2526" stopIfTrue="1" operator="between">
      <formula>0.8</formula>
      <formula>1.2</formula>
    </cfRule>
  </conditionalFormatting>
  <conditionalFormatting sqref="F43">
    <cfRule type="cellIs" dxfId="2633" priority="2525" stopIfTrue="1" operator="lessThan">
      <formula>0.8</formula>
    </cfRule>
  </conditionalFormatting>
  <conditionalFormatting sqref="F43">
    <cfRule type="cellIs" dxfId="2632" priority="2524" stopIfTrue="1" operator="greaterThan">
      <formula>1.2</formula>
    </cfRule>
  </conditionalFormatting>
  <conditionalFormatting sqref="F44">
    <cfRule type="cellIs" dxfId="2631" priority="2523" stopIfTrue="1" operator="between">
      <formula>0.8</formula>
      <formula>1.2</formula>
    </cfRule>
  </conditionalFormatting>
  <conditionalFormatting sqref="F44">
    <cfRule type="cellIs" dxfId="2630" priority="2522" stopIfTrue="1" operator="lessThan">
      <formula>0.8</formula>
    </cfRule>
  </conditionalFormatting>
  <conditionalFormatting sqref="F44">
    <cfRule type="cellIs" dxfId="2629" priority="2521" stopIfTrue="1" operator="greaterThan">
      <formula>1.2</formula>
    </cfRule>
  </conditionalFormatting>
  <conditionalFormatting sqref="G25">
    <cfRule type="cellIs" dxfId="2628" priority="2518" stopIfTrue="1" operator="greaterThan">
      <formula>1.2</formula>
    </cfRule>
    <cfRule type="cellIs" dxfId="2627" priority="2519" stopIfTrue="1" operator="lessThan">
      <formula>0.8</formula>
    </cfRule>
    <cfRule type="cellIs" dxfId="2626" priority="2520" stopIfTrue="1" operator="between">
      <formula>0.8</formula>
      <formula>1.2</formula>
    </cfRule>
  </conditionalFormatting>
  <conditionalFormatting sqref="G26">
    <cfRule type="cellIs" dxfId="2625" priority="2515" stopIfTrue="1" operator="greaterThan">
      <formula>1.2</formula>
    </cfRule>
    <cfRule type="cellIs" dxfId="2624" priority="2516" stopIfTrue="1" operator="lessThan">
      <formula>0.8</formula>
    </cfRule>
    <cfRule type="cellIs" dxfId="2623" priority="2517" stopIfTrue="1" operator="between">
      <formula>0.8</formula>
      <formula>1.2</formula>
    </cfRule>
  </conditionalFormatting>
  <conditionalFormatting sqref="G27">
    <cfRule type="cellIs" dxfId="2622" priority="2512" stopIfTrue="1" operator="greaterThan">
      <formula>1.2</formula>
    </cfRule>
    <cfRule type="cellIs" dxfId="2621" priority="2513" stopIfTrue="1" operator="lessThan">
      <formula>0.8</formula>
    </cfRule>
    <cfRule type="cellIs" dxfId="2620" priority="2514" stopIfTrue="1" operator="between">
      <formula>0.8</formula>
      <formula>1.2</formula>
    </cfRule>
  </conditionalFormatting>
  <conditionalFormatting sqref="G28">
    <cfRule type="cellIs" dxfId="2619" priority="2509" stopIfTrue="1" operator="greaterThan">
      <formula>1.2</formula>
    </cfRule>
    <cfRule type="cellIs" dxfId="2618" priority="2510" stopIfTrue="1" operator="lessThan">
      <formula>0.8</formula>
    </cfRule>
    <cfRule type="cellIs" dxfId="2617" priority="2511" stopIfTrue="1" operator="between">
      <formula>0.8</formula>
      <formula>1.2</formula>
    </cfRule>
  </conditionalFormatting>
  <conditionalFormatting sqref="G29">
    <cfRule type="cellIs" dxfId="2616" priority="2506" stopIfTrue="1" operator="greaterThan">
      <formula>1.2</formula>
    </cfRule>
    <cfRule type="cellIs" dxfId="2615" priority="2507" stopIfTrue="1" operator="lessThan">
      <formula>0.8</formula>
    </cfRule>
    <cfRule type="cellIs" dxfId="2614" priority="2508" stopIfTrue="1" operator="between">
      <formula>0.8</formula>
      <formula>1.2</formula>
    </cfRule>
  </conditionalFormatting>
  <conditionalFormatting sqref="G30">
    <cfRule type="cellIs" dxfId="2613" priority="2505" stopIfTrue="1" operator="between">
      <formula>0.8</formula>
      <formula>1.2</formula>
    </cfRule>
  </conditionalFormatting>
  <conditionalFormatting sqref="G30">
    <cfRule type="cellIs" dxfId="2612" priority="2504" stopIfTrue="1" operator="lessThan">
      <formula>0.8</formula>
    </cfRule>
  </conditionalFormatting>
  <conditionalFormatting sqref="G30">
    <cfRule type="cellIs" dxfId="2611" priority="2503" stopIfTrue="1" operator="greaterThan">
      <formula>1.2</formula>
    </cfRule>
  </conditionalFormatting>
  <conditionalFormatting sqref="G31">
    <cfRule type="cellIs" dxfId="2610" priority="2502" stopIfTrue="1" operator="between">
      <formula>0.8</formula>
      <formula>1.2</formula>
    </cfRule>
  </conditionalFormatting>
  <conditionalFormatting sqref="G31">
    <cfRule type="cellIs" dxfId="2609" priority="2501" stopIfTrue="1" operator="lessThan">
      <formula>0.8</formula>
    </cfRule>
  </conditionalFormatting>
  <conditionalFormatting sqref="G31">
    <cfRule type="cellIs" dxfId="2608" priority="2500" stopIfTrue="1" operator="greaterThan">
      <formula>1.2</formula>
    </cfRule>
  </conditionalFormatting>
  <conditionalFormatting sqref="G32">
    <cfRule type="cellIs" dxfId="2607" priority="2499" stopIfTrue="1" operator="between">
      <formula>0.8</formula>
      <formula>1.2</formula>
    </cfRule>
  </conditionalFormatting>
  <conditionalFormatting sqref="G32">
    <cfRule type="cellIs" dxfId="2606" priority="2498" stopIfTrue="1" operator="lessThan">
      <formula>0.8</formula>
    </cfRule>
  </conditionalFormatting>
  <conditionalFormatting sqref="G32">
    <cfRule type="cellIs" dxfId="2605" priority="2497" stopIfTrue="1" operator="greaterThan">
      <formula>1.2</formula>
    </cfRule>
  </conditionalFormatting>
  <conditionalFormatting sqref="G33">
    <cfRule type="cellIs" dxfId="2604" priority="2496" stopIfTrue="1" operator="between">
      <formula>0.8</formula>
      <formula>1.2</formula>
    </cfRule>
  </conditionalFormatting>
  <conditionalFormatting sqref="G33">
    <cfRule type="cellIs" dxfId="2603" priority="2495" stopIfTrue="1" operator="lessThan">
      <formula>0.8</formula>
    </cfRule>
  </conditionalFormatting>
  <conditionalFormatting sqref="G33">
    <cfRule type="cellIs" dxfId="2602" priority="2494" stopIfTrue="1" operator="greaterThan">
      <formula>1.2</formula>
    </cfRule>
  </conditionalFormatting>
  <conditionalFormatting sqref="G34">
    <cfRule type="cellIs" dxfId="2601" priority="2493" stopIfTrue="1" operator="between">
      <formula>0.8</formula>
      <formula>1.2</formula>
    </cfRule>
  </conditionalFormatting>
  <conditionalFormatting sqref="G34">
    <cfRule type="cellIs" dxfId="2600" priority="2492" stopIfTrue="1" operator="lessThan">
      <formula>0.8</formula>
    </cfRule>
  </conditionalFormatting>
  <conditionalFormatting sqref="G34">
    <cfRule type="cellIs" dxfId="2599" priority="2491" stopIfTrue="1" operator="greaterThan">
      <formula>1.2</formula>
    </cfRule>
  </conditionalFormatting>
  <conditionalFormatting sqref="G35">
    <cfRule type="cellIs" dxfId="2598" priority="2490" stopIfTrue="1" operator="between">
      <formula>0.8</formula>
      <formula>1.2</formula>
    </cfRule>
  </conditionalFormatting>
  <conditionalFormatting sqref="G35">
    <cfRule type="cellIs" dxfId="2597" priority="2489" stopIfTrue="1" operator="lessThan">
      <formula>0.8</formula>
    </cfRule>
  </conditionalFormatting>
  <conditionalFormatting sqref="G35">
    <cfRule type="cellIs" dxfId="2596" priority="2488" stopIfTrue="1" operator="greaterThan">
      <formula>1.2</formula>
    </cfRule>
  </conditionalFormatting>
  <conditionalFormatting sqref="G36">
    <cfRule type="cellIs" dxfId="2595" priority="2487" stopIfTrue="1" operator="between">
      <formula>0.8</formula>
      <formula>1.2</formula>
    </cfRule>
  </conditionalFormatting>
  <conditionalFormatting sqref="G36">
    <cfRule type="cellIs" dxfId="2594" priority="2486" stopIfTrue="1" operator="lessThan">
      <formula>0.8</formula>
    </cfRule>
  </conditionalFormatting>
  <conditionalFormatting sqref="G36">
    <cfRule type="cellIs" dxfId="2593" priority="2485" stopIfTrue="1" operator="greaterThan">
      <formula>1.2</formula>
    </cfRule>
  </conditionalFormatting>
  <conditionalFormatting sqref="G37">
    <cfRule type="cellIs" dxfId="2592" priority="2484" stopIfTrue="1" operator="between">
      <formula>0.8</formula>
      <formula>1.2</formula>
    </cfRule>
  </conditionalFormatting>
  <conditionalFormatting sqref="G37">
    <cfRule type="cellIs" dxfId="2591" priority="2483" stopIfTrue="1" operator="lessThan">
      <formula>0.8</formula>
    </cfRule>
  </conditionalFormatting>
  <conditionalFormatting sqref="G37">
    <cfRule type="cellIs" dxfId="2590" priority="2482" stopIfTrue="1" operator="greaterThan">
      <formula>1.2</formula>
    </cfRule>
  </conditionalFormatting>
  <conditionalFormatting sqref="G38">
    <cfRule type="cellIs" dxfId="2589" priority="2481" stopIfTrue="1" operator="between">
      <formula>0.8</formula>
      <formula>1.2</formula>
    </cfRule>
  </conditionalFormatting>
  <conditionalFormatting sqref="G38">
    <cfRule type="cellIs" dxfId="2588" priority="2480" stopIfTrue="1" operator="lessThan">
      <formula>0.8</formula>
    </cfRule>
  </conditionalFormatting>
  <conditionalFormatting sqref="G38">
    <cfRule type="cellIs" dxfId="2587" priority="2479" stopIfTrue="1" operator="greaterThan">
      <formula>1.2</formula>
    </cfRule>
  </conditionalFormatting>
  <conditionalFormatting sqref="G39">
    <cfRule type="cellIs" dxfId="2586" priority="2478" stopIfTrue="1" operator="between">
      <formula>0.8</formula>
      <formula>1.2</formula>
    </cfRule>
  </conditionalFormatting>
  <conditionalFormatting sqref="G39">
    <cfRule type="cellIs" dxfId="2585" priority="2477" stopIfTrue="1" operator="lessThan">
      <formula>0.8</formula>
    </cfRule>
  </conditionalFormatting>
  <conditionalFormatting sqref="G39">
    <cfRule type="cellIs" dxfId="2584" priority="2476" stopIfTrue="1" operator="greaterThan">
      <formula>1.2</formula>
    </cfRule>
  </conditionalFormatting>
  <conditionalFormatting sqref="G40">
    <cfRule type="cellIs" dxfId="2583" priority="2475" stopIfTrue="1" operator="between">
      <formula>0.8</formula>
      <formula>1.2</formula>
    </cfRule>
  </conditionalFormatting>
  <conditionalFormatting sqref="G40">
    <cfRule type="cellIs" dxfId="2582" priority="2474" stopIfTrue="1" operator="lessThan">
      <formula>0.8</formula>
    </cfRule>
  </conditionalFormatting>
  <conditionalFormatting sqref="G40">
    <cfRule type="cellIs" dxfId="2581" priority="2473" stopIfTrue="1" operator="greaterThan">
      <formula>1.2</formula>
    </cfRule>
  </conditionalFormatting>
  <conditionalFormatting sqref="G41">
    <cfRule type="cellIs" dxfId="2580" priority="2472" stopIfTrue="1" operator="between">
      <formula>0.8</formula>
      <formula>1.2</formula>
    </cfRule>
  </conditionalFormatting>
  <conditionalFormatting sqref="G41">
    <cfRule type="cellIs" dxfId="2579" priority="2471" stopIfTrue="1" operator="lessThan">
      <formula>0.8</formula>
    </cfRule>
  </conditionalFormatting>
  <conditionalFormatting sqref="G41">
    <cfRule type="cellIs" dxfId="2578" priority="2470" stopIfTrue="1" operator="greaterThan">
      <formula>1.2</formula>
    </cfRule>
  </conditionalFormatting>
  <conditionalFormatting sqref="G42">
    <cfRule type="cellIs" dxfId="2577" priority="2469" stopIfTrue="1" operator="between">
      <formula>0.8</formula>
      <formula>1.2</formula>
    </cfRule>
  </conditionalFormatting>
  <conditionalFormatting sqref="G42">
    <cfRule type="cellIs" dxfId="2576" priority="2468" stopIfTrue="1" operator="lessThan">
      <formula>0.8</formula>
    </cfRule>
  </conditionalFormatting>
  <conditionalFormatting sqref="G42">
    <cfRule type="cellIs" dxfId="2575" priority="2467" stopIfTrue="1" operator="greaterThan">
      <formula>1.2</formula>
    </cfRule>
  </conditionalFormatting>
  <conditionalFormatting sqref="G43">
    <cfRule type="cellIs" dxfId="2574" priority="2466" stopIfTrue="1" operator="between">
      <formula>0.8</formula>
      <formula>1.2</formula>
    </cfRule>
  </conditionalFormatting>
  <conditionalFormatting sqref="G43">
    <cfRule type="cellIs" dxfId="2573" priority="2465" stopIfTrue="1" operator="lessThan">
      <formula>0.8</formula>
    </cfRule>
  </conditionalFormatting>
  <conditionalFormatting sqref="G43">
    <cfRule type="cellIs" dxfId="2572" priority="2464" stopIfTrue="1" operator="greaterThan">
      <formula>1.2</formula>
    </cfRule>
  </conditionalFormatting>
  <conditionalFormatting sqref="G44">
    <cfRule type="cellIs" dxfId="2571" priority="2463" stopIfTrue="1" operator="between">
      <formula>0.8</formula>
      <formula>1.2</formula>
    </cfRule>
  </conditionalFormatting>
  <conditionalFormatting sqref="G44">
    <cfRule type="cellIs" dxfId="2570" priority="2462" stopIfTrue="1" operator="lessThan">
      <formula>0.8</formula>
    </cfRule>
  </conditionalFormatting>
  <conditionalFormatting sqref="G44">
    <cfRule type="cellIs" dxfId="2569" priority="2461" stopIfTrue="1" operator="greaterThan">
      <formula>1.2</formula>
    </cfRule>
  </conditionalFormatting>
  <conditionalFormatting sqref="H25">
    <cfRule type="cellIs" dxfId="2568" priority="2458" stopIfTrue="1" operator="greaterThan">
      <formula>1.2</formula>
    </cfRule>
    <cfRule type="cellIs" dxfId="2567" priority="2459" stopIfTrue="1" operator="lessThan">
      <formula>0.8</formula>
    </cfRule>
    <cfRule type="cellIs" dxfId="2566" priority="2460" stopIfTrue="1" operator="between">
      <formula>0.8</formula>
      <formula>1.2</formula>
    </cfRule>
  </conditionalFormatting>
  <conditionalFormatting sqref="H26">
    <cfRule type="cellIs" dxfId="2565" priority="2455" stopIfTrue="1" operator="greaterThan">
      <formula>1.2</formula>
    </cfRule>
    <cfRule type="cellIs" dxfId="2564" priority="2456" stopIfTrue="1" operator="lessThan">
      <formula>0.8</formula>
    </cfRule>
    <cfRule type="cellIs" dxfId="2563" priority="2457" stopIfTrue="1" operator="between">
      <formula>0.8</formula>
      <formula>1.2</formula>
    </cfRule>
  </conditionalFormatting>
  <conditionalFormatting sqref="H27">
    <cfRule type="cellIs" dxfId="2562" priority="2452" stopIfTrue="1" operator="greaterThan">
      <formula>1.2</formula>
    </cfRule>
    <cfRule type="cellIs" dxfId="2561" priority="2453" stopIfTrue="1" operator="lessThan">
      <formula>0.8</formula>
    </cfRule>
    <cfRule type="cellIs" dxfId="2560" priority="2454" stopIfTrue="1" operator="between">
      <formula>0.8</formula>
      <formula>1.2</formula>
    </cfRule>
  </conditionalFormatting>
  <conditionalFormatting sqref="H28">
    <cfRule type="cellIs" dxfId="2559" priority="2451" stopIfTrue="1" operator="between">
      <formula>0.8</formula>
      <formula>1.2</formula>
    </cfRule>
  </conditionalFormatting>
  <conditionalFormatting sqref="H28">
    <cfRule type="cellIs" dxfId="2558" priority="2450" stopIfTrue="1" operator="lessThan">
      <formula>0.8</formula>
    </cfRule>
  </conditionalFormatting>
  <conditionalFormatting sqref="H28">
    <cfRule type="cellIs" dxfId="2557" priority="2449" stopIfTrue="1" operator="greaterThan">
      <formula>1.2</formula>
    </cfRule>
  </conditionalFormatting>
  <conditionalFormatting sqref="H29">
    <cfRule type="cellIs" dxfId="2556" priority="2448" stopIfTrue="1" operator="between">
      <formula>0.8</formula>
      <formula>1.2</formula>
    </cfRule>
  </conditionalFormatting>
  <conditionalFormatting sqref="H29">
    <cfRule type="cellIs" dxfId="2555" priority="2447" stopIfTrue="1" operator="lessThan">
      <formula>0.8</formula>
    </cfRule>
  </conditionalFormatting>
  <conditionalFormatting sqref="H29">
    <cfRule type="cellIs" dxfId="2554" priority="2446" stopIfTrue="1" operator="greaterThan">
      <formula>1.2</formula>
    </cfRule>
  </conditionalFormatting>
  <conditionalFormatting sqref="H30">
    <cfRule type="cellIs" dxfId="2553" priority="2445" stopIfTrue="1" operator="between">
      <formula>0.8</formula>
      <formula>1.2</formula>
    </cfRule>
  </conditionalFormatting>
  <conditionalFormatting sqref="H30">
    <cfRule type="cellIs" dxfId="2552" priority="2444" stopIfTrue="1" operator="lessThan">
      <formula>0.8</formula>
    </cfRule>
  </conditionalFormatting>
  <conditionalFormatting sqref="H30">
    <cfRule type="cellIs" dxfId="2551" priority="2443" stopIfTrue="1" operator="greaterThan">
      <formula>1.2</formula>
    </cfRule>
  </conditionalFormatting>
  <conditionalFormatting sqref="H31">
    <cfRule type="cellIs" dxfId="2550" priority="2442" stopIfTrue="1" operator="between">
      <formula>0.8</formula>
      <formula>1.2</formula>
    </cfRule>
  </conditionalFormatting>
  <conditionalFormatting sqref="H31">
    <cfRule type="cellIs" dxfId="2549" priority="2441" stopIfTrue="1" operator="lessThan">
      <formula>0.8</formula>
    </cfRule>
  </conditionalFormatting>
  <conditionalFormatting sqref="H31">
    <cfRule type="cellIs" dxfId="2548" priority="2440" stopIfTrue="1" operator="greaterThan">
      <formula>1.2</formula>
    </cfRule>
  </conditionalFormatting>
  <conditionalFormatting sqref="H32">
    <cfRule type="cellIs" dxfId="2547" priority="2439" stopIfTrue="1" operator="between">
      <formula>0.8</formula>
      <formula>1.2</formula>
    </cfRule>
  </conditionalFormatting>
  <conditionalFormatting sqref="H32">
    <cfRule type="cellIs" dxfId="2546" priority="2438" stopIfTrue="1" operator="lessThan">
      <formula>0.8</formula>
    </cfRule>
  </conditionalFormatting>
  <conditionalFormatting sqref="H32">
    <cfRule type="cellIs" dxfId="2545" priority="2437" stopIfTrue="1" operator="greaterThan">
      <formula>1.2</formula>
    </cfRule>
  </conditionalFormatting>
  <conditionalFormatting sqref="H33">
    <cfRule type="cellIs" dxfId="2544" priority="2436" stopIfTrue="1" operator="between">
      <formula>0.8</formula>
      <formula>1.2</formula>
    </cfRule>
  </conditionalFormatting>
  <conditionalFormatting sqref="H33">
    <cfRule type="cellIs" dxfId="2543" priority="2435" stopIfTrue="1" operator="lessThan">
      <formula>0.8</formula>
    </cfRule>
  </conditionalFormatting>
  <conditionalFormatting sqref="H33">
    <cfRule type="cellIs" dxfId="2542" priority="2434" stopIfTrue="1" operator="greaterThan">
      <formula>1.2</formula>
    </cfRule>
  </conditionalFormatting>
  <conditionalFormatting sqref="H34">
    <cfRule type="cellIs" dxfId="2541" priority="2433" stopIfTrue="1" operator="between">
      <formula>0.8</formula>
      <formula>1.2</formula>
    </cfRule>
  </conditionalFormatting>
  <conditionalFormatting sqref="H34">
    <cfRule type="cellIs" dxfId="2540" priority="2432" stopIfTrue="1" operator="lessThan">
      <formula>0.8</formula>
    </cfRule>
  </conditionalFormatting>
  <conditionalFormatting sqref="H34">
    <cfRule type="cellIs" dxfId="2539" priority="2431" stopIfTrue="1" operator="greaterThan">
      <formula>1.2</formula>
    </cfRule>
  </conditionalFormatting>
  <conditionalFormatting sqref="H35">
    <cfRule type="cellIs" dxfId="2538" priority="2430" stopIfTrue="1" operator="between">
      <formula>0.8</formula>
      <formula>1.2</formula>
    </cfRule>
  </conditionalFormatting>
  <conditionalFormatting sqref="H35">
    <cfRule type="cellIs" dxfId="2537" priority="2429" stopIfTrue="1" operator="lessThan">
      <formula>0.8</formula>
    </cfRule>
  </conditionalFormatting>
  <conditionalFormatting sqref="H35">
    <cfRule type="cellIs" dxfId="2536" priority="2428" stopIfTrue="1" operator="greaterThan">
      <formula>1.2</formula>
    </cfRule>
  </conditionalFormatting>
  <conditionalFormatting sqref="H36">
    <cfRule type="cellIs" dxfId="2535" priority="2427" stopIfTrue="1" operator="between">
      <formula>0.8</formula>
      <formula>1.2</formula>
    </cfRule>
  </conditionalFormatting>
  <conditionalFormatting sqref="H36">
    <cfRule type="cellIs" dxfId="2534" priority="2426" stopIfTrue="1" operator="lessThan">
      <formula>0.8</formula>
    </cfRule>
  </conditionalFormatting>
  <conditionalFormatting sqref="H36">
    <cfRule type="cellIs" dxfId="2533" priority="2425" stopIfTrue="1" operator="greaterThan">
      <formula>1.2</formula>
    </cfRule>
  </conditionalFormatting>
  <conditionalFormatting sqref="H37">
    <cfRule type="cellIs" dxfId="2532" priority="2424" stopIfTrue="1" operator="between">
      <formula>0.8</formula>
      <formula>1.2</formula>
    </cfRule>
  </conditionalFormatting>
  <conditionalFormatting sqref="H37">
    <cfRule type="cellIs" dxfId="2531" priority="2423" stopIfTrue="1" operator="lessThan">
      <formula>0.8</formula>
    </cfRule>
  </conditionalFormatting>
  <conditionalFormatting sqref="H37">
    <cfRule type="cellIs" dxfId="2530" priority="2422" stopIfTrue="1" operator="greaterThan">
      <formula>1.2</formula>
    </cfRule>
  </conditionalFormatting>
  <conditionalFormatting sqref="H38">
    <cfRule type="cellIs" dxfId="2529" priority="2421" stopIfTrue="1" operator="between">
      <formula>0.8</formula>
      <formula>1.2</formula>
    </cfRule>
  </conditionalFormatting>
  <conditionalFormatting sqref="H38">
    <cfRule type="cellIs" dxfId="2528" priority="2420" stopIfTrue="1" operator="lessThan">
      <formula>0.8</formula>
    </cfRule>
  </conditionalFormatting>
  <conditionalFormatting sqref="H38">
    <cfRule type="cellIs" dxfId="2527" priority="2419" stopIfTrue="1" operator="greaterThan">
      <formula>1.2</formula>
    </cfRule>
  </conditionalFormatting>
  <conditionalFormatting sqref="H39">
    <cfRule type="cellIs" dxfId="2526" priority="2418" stopIfTrue="1" operator="between">
      <formula>0.8</formula>
      <formula>1.2</formula>
    </cfRule>
  </conditionalFormatting>
  <conditionalFormatting sqref="H39">
    <cfRule type="cellIs" dxfId="2525" priority="2417" stopIfTrue="1" operator="lessThan">
      <formula>0.8</formula>
    </cfRule>
  </conditionalFormatting>
  <conditionalFormatting sqref="H39">
    <cfRule type="cellIs" dxfId="2524" priority="2416" stopIfTrue="1" operator="greaterThan">
      <formula>1.2</formula>
    </cfRule>
  </conditionalFormatting>
  <conditionalFormatting sqref="H40">
    <cfRule type="cellIs" dxfId="2523" priority="2415" stopIfTrue="1" operator="between">
      <formula>0.8</formula>
      <formula>1.2</formula>
    </cfRule>
  </conditionalFormatting>
  <conditionalFormatting sqref="H40">
    <cfRule type="cellIs" dxfId="2522" priority="2414" stopIfTrue="1" operator="lessThan">
      <formula>0.8</formula>
    </cfRule>
  </conditionalFormatting>
  <conditionalFormatting sqref="H40">
    <cfRule type="cellIs" dxfId="2521" priority="2413" stopIfTrue="1" operator="greaterThan">
      <formula>1.2</formula>
    </cfRule>
  </conditionalFormatting>
  <conditionalFormatting sqref="H41">
    <cfRule type="cellIs" dxfId="2520" priority="2412" stopIfTrue="1" operator="between">
      <formula>0.8</formula>
      <formula>1.2</formula>
    </cfRule>
  </conditionalFormatting>
  <conditionalFormatting sqref="H41">
    <cfRule type="cellIs" dxfId="2519" priority="2411" stopIfTrue="1" operator="lessThan">
      <formula>0.8</formula>
    </cfRule>
  </conditionalFormatting>
  <conditionalFormatting sqref="H41">
    <cfRule type="cellIs" dxfId="2518" priority="2410" stopIfTrue="1" operator="greaterThan">
      <formula>1.2</formula>
    </cfRule>
  </conditionalFormatting>
  <conditionalFormatting sqref="H42">
    <cfRule type="cellIs" dxfId="2517" priority="2409" stopIfTrue="1" operator="between">
      <formula>0.8</formula>
      <formula>1.2</formula>
    </cfRule>
  </conditionalFormatting>
  <conditionalFormatting sqref="H42">
    <cfRule type="cellIs" dxfId="2516" priority="2408" stopIfTrue="1" operator="lessThan">
      <formula>0.8</formula>
    </cfRule>
  </conditionalFormatting>
  <conditionalFormatting sqref="H42">
    <cfRule type="cellIs" dxfId="2515" priority="2407" stopIfTrue="1" operator="greaterThan">
      <formula>1.2</formula>
    </cfRule>
  </conditionalFormatting>
  <conditionalFormatting sqref="H43">
    <cfRule type="cellIs" dxfId="2514" priority="2406" stopIfTrue="1" operator="between">
      <formula>0.8</formula>
      <formula>1.2</formula>
    </cfRule>
  </conditionalFormatting>
  <conditionalFormatting sqref="H43">
    <cfRule type="cellIs" dxfId="2513" priority="2405" stopIfTrue="1" operator="lessThan">
      <formula>0.8</formula>
    </cfRule>
  </conditionalFormatting>
  <conditionalFormatting sqref="H43">
    <cfRule type="cellIs" dxfId="2512" priority="2404" stopIfTrue="1" operator="greaterThan">
      <formula>1.2</formula>
    </cfRule>
  </conditionalFormatting>
  <conditionalFormatting sqref="H44">
    <cfRule type="cellIs" dxfId="2511" priority="2403" stopIfTrue="1" operator="between">
      <formula>0.8</formula>
      <formula>1.2</formula>
    </cfRule>
  </conditionalFormatting>
  <conditionalFormatting sqref="H44">
    <cfRule type="cellIs" dxfId="2510" priority="2402" stopIfTrue="1" operator="lessThan">
      <formula>0.8</formula>
    </cfRule>
  </conditionalFormatting>
  <conditionalFormatting sqref="H44">
    <cfRule type="cellIs" dxfId="2509" priority="2401" stopIfTrue="1" operator="greaterThan">
      <formula>1.2</formula>
    </cfRule>
  </conditionalFormatting>
  <conditionalFormatting sqref="I25">
    <cfRule type="cellIs" dxfId="2508" priority="2398" stopIfTrue="1" operator="greaterThan">
      <formula>1.2</formula>
    </cfRule>
    <cfRule type="cellIs" dxfId="2507" priority="2399" stopIfTrue="1" operator="lessThan">
      <formula>0.8</formula>
    </cfRule>
    <cfRule type="cellIs" dxfId="2506" priority="2400" stopIfTrue="1" operator="between">
      <formula>0.8</formula>
      <formula>1.2</formula>
    </cfRule>
  </conditionalFormatting>
  <conditionalFormatting sqref="I26">
    <cfRule type="cellIs" dxfId="2505" priority="2395" stopIfTrue="1" operator="greaterThan">
      <formula>1.2</formula>
    </cfRule>
    <cfRule type="cellIs" dxfId="2504" priority="2396" stopIfTrue="1" operator="lessThan">
      <formula>0.8</formula>
    </cfRule>
    <cfRule type="cellIs" dxfId="2503" priority="2397" stopIfTrue="1" operator="between">
      <formula>0.8</formula>
      <formula>1.2</formula>
    </cfRule>
  </conditionalFormatting>
  <conditionalFormatting sqref="I27">
    <cfRule type="cellIs" dxfId="2502" priority="2392" stopIfTrue="1" operator="greaterThan">
      <formula>1.2</formula>
    </cfRule>
    <cfRule type="cellIs" dxfId="2501" priority="2393" stopIfTrue="1" operator="lessThan">
      <formula>0.8</formula>
    </cfRule>
    <cfRule type="cellIs" dxfId="2500" priority="2394" stopIfTrue="1" operator="between">
      <formula>0.8</formula>
      <formula>1.2</formula>
    </cfRule>
  </conditionalFormatting>
  <conditionalFormatting sqref="I28">
    <cfRule type="cellIs" dxfId="2499" priority="2391" stopIfTrue="1" operator="between">
      <formula>0.8</formula>
      <formula>1.2</formula>
    </cfRule>
  </conditionalFormatting>
  <conditionalFormatting sqref="I28">
    <cfRule type="cellIs" dxfId="2498" priority="2390" stopIfTrue="1" operator="lessThan">
      <formula>0.8</formula>
    </cfRule>
  </conditionalFormatting>
  <conditionalFormatting sqref="I28">
    <cfRule type="cellIs" dxfId="2497" priority="2389" stopIfTrue="1" operator="greaterThan">
      <formula>1.2</formula>
    </cfRule>
  </conditionalFormatting>
  <conditionalFormatting sqref="I29">
    <cfRule type="cellIs" dxfId="2496" priority="2388" stopIfTrue="1" operator="between">
      <formula>0.8</formula>
      <formula>1.2</formula>
    </cfRule>
  </conditionalFormatting>
  <conditionalFormatting sqref="I29">
    <cfRule type="cellIs" dxfId="2495" priority="2387" stopIfTrue="1" operator="lessThan">
      <formula>0.8</formula>
    </cfRule>
  </conditionalFormatting>
  <conditionalFormatting sqref="I29">
    <cfRule type="cellIs" dxfId="2494" priority="2386" stopIfTrue="1" operator="greaterThan">
      <formula>1.2</formula>
    </cfRule>
  </conditionalFormatting>
  <conditionalFormatting sqref="I30">
    <cfRule type="cellIs" dxfId="2493" priority="2385" stopIfTrue="1" operator="between">
      <formula>0.8</formula>
      <formula>1.2</formula>
    </cfRule>
  </conditionalFormatting>
  <conditionalFormatting sqref="I30">
    <cfRule type="cellIs" dxfId="2492" priority="2384" stopIfTrue="1" operator="lessThan">
      <formula>0.8</formula>
    </cfRule>
  </conditionalFormatting>
  <conditionalFormatting sqref="I30">
    <cfRule type="cellIs" dxfId="2491" priority="2383" stopIfTrue="1" operator="greaterThan">
      <formula>1.2</formula>
    </cfRule>
  </conditionalFormatting>
  <conditionalFormatting sqref="I31">
    <cfRule type="cellIs" dxfId="2490" priority="2382" stopIfTrue="1" operator="between">
      <formula>0.8</formula>
      <formula>1.2</formula>
    </cfRule>
  </conditionalFormatting>
  <conditionalFormatting sqref="I31">
    <cfRule type="cellIs" dxfId="2489" priority="2381" stopIfTrue="1" operator="lessThan">
      <formula>0.8</formula>
    </cfRule>
  </conditionalFormatting>
  <conditionalFormatting sqref="I31">
    <cfRule type="cellIs" dxfId="2488" priority="2380" stopIfTrue="1" operator="greaterThan">
      <formula>1.2</formula>
    </cfRule>
  </conditionalFormatting>
  <conditionalFormatting sqref="I32">
    <cfRule type="cellIs" dxfId="2487" priority="2379" stopIfTrue="1" operator="between">
      <formula>0.8</formula>
      <formula>1.2</formula>
    </cfRule>
  </conditionalFormatting>
  <conditionalFormatting sqref="I32">
    <cfRule type="cellIs" dxfId="2486" priority="2378" stopIfTrue="1" operator="lessThan">
      <formula>0.8</formula>
    </cfRule>
  </conditionalFormatting>
  <conditionalFormatting sqref="I32">
    <cfRule type="cellIs" dxfId="2485" priority="2377" stopIfTrue="1" operator="greaterThan">
      <formula>1.2</formula>
    </cfRule>
  </conditionalFormatting>
  <conditionalFormatting sqref="I33">
    <cfRule type="cellIs" dxfId="2484" priority="2376" stopIfTrue="1" operator="between">
      <formula>0.8</formula>
      <formula>1.2</formula>
    </cfRule>
  </conditionalFormatting>
  <conditionalFormatting sqref="I33">
    <cfRule type="cellIs" dxfId="2483" priority="2375" stopIfTrue="1" operator="lessThan">
      <formula>0.8</formula>
    </cfRule>
  </conditionalFormatting>
  <conditionalFormatting sqref="I33">
    <cfRule type="cellIs" dxfId="2482" priority="2374" stopIfTrue="1" operator="greaterThan">
      <formula>1.2</formula>
    </cfRule>
  </conditionalFormatting>
  <conditionalFormatting sqref="I34">
    <cfRule type="cellIs" dxfId="2481" priority="2373" stopIfTrue="1" operator="between">
      <formula>0.8</formula>
      <formula>1.2</formula>
    </cfRule>
  </conditionalFormatting>
  <conditionalFormatting sqref="I34">
    <cfRule type="cellIs" dxfId="2480" priority="2372" stopIfTrue="1" operator="lessThan">
      <formula>0.8</formula>
    </cfRule>
  </conditionalFormatting>
  <conditionalFormatting sqref="I34">
    <cfRule type="cellIs" dxfId="2479" priority="2371" stopIfTrue="1" operator="greaterThan">
      <formula>1.2</formula>
    </cfRule>
  </conditionalFormatting>
  <conditionalFormatting sqref="I35">
    <cfRule type="cellIs" dxfId="2478" priority="2370" stopIfTrue="1" operator="between">
      <formula>0.8</formula>
      <formula>1.2</formula>
    </cfRule>
  </conditionalFormatting>
  <conditionalFormatting sqref="I35">
    <cfRule type="cellIs" dxfId="2477" priority="2369" stopIfTrue="1" operator="lessThan">
      <formula>0.8</formula>
    </cfRule>
  </conditionalFormatting>
  <conditionalFormatting sqref="I35">
    <cfRule type="cellIs" dxfId="2476" priority="2368" stopIfTrue="1" operator="greaterThan">
      <formula>1.2</formula>
    </cfRule>
  </conditionalFormatting>
  <conditionalFormatting sqref="I36">
    <cfRule type="cellIs" dxfId="2475" priority="2367" stopIfTrue="1" operator="between">
      <formula>0.8</formula>
      <formula>1.2</formula>
    </cfRule>
  </conditionalFormatting>
  <conditionalFormatting sqref="I36">
    <cfRule type="cellIs" dxfId="2474" priority="2366" stopIfTrue="1" operator="lessThan">
      <formula>0.8</formula>
    </cfRule>
  </conditionalFormatting>
  <conditionalFormatting sqref="I36">
    <cfRule type="cellIs" dxfId="2473" priority="2365" stopIfTrue="1" operator="greaterThan">
      <formula>1.2</formula>
    </cfRule>
  </conditionalFormatting>
  <conditionalFormatting sqref="I37">
    <cfRule type="cellIs" dxfId="2472" priority="2364" stopIfTrue="1" operator="between">
      <formula>0.8</formula>
      <formula>1.2</formula>
    </cfRule>
  </conditionalFormatting>
  <conditionalFormatting sqref="I37">
    <cfRule type="cellIs" dxfId="2471" priority="2363" stopIfTrue="1" operator="lessThan">
      <formula>0.8</formula>
    </cfRule>
  </conditionalFormatting>
  <conditionalFormatting sqref="I37">
    <cfRule type="cellIs" dxfId="2470" priority="2362" stopIfTrue="1" operator="greaterThan">
      <formula>1.2</formula>
    </cfRule>
  </conditionalFormatting>
  <conditionalFormatting sqref="I38">
    <cfRule type="cellIs" dxfId="2469" priority="2361" stopIfTrue="1" operator="between">
      <formula>0.8</formula>
      <formula>1.2</formula>
    </cfRule>
  </conditionalFormatting>
  <conditionalFormatting sqref="I38">
    <cfRule type="cellIs" dxfId="2468" priority="2360" stopIfTrue="1" operator="lessThan">
      <formula>0.8</formula>
    </cfRule>
  </conditionalFormatting>
  <conditionalFormatting sqref="I38">
    <cfRule type="cellIs" dxfId="2467" priority="2359" stopIfTrue="1" operator="greaterThan">
      <formula>1.2</formula>
    </cfRule>
  </conditionalFormatting>
  <conditionalFormatting sqref="I39">
    <cfRule type="cellIs" dxfId="2466" priority="2358" stopIfTrue="1" operator="between">
      <formula>0.8</formula>
      <formula>1.2</formula>
    </cfRule>
  </conditionalFormatting>
  <conditionalFormatting sqref="I39">
    <cfRule type="cellIs" dxfId="2465" priority="2357" stopIfTrue="1" operator="lessThan">
      <formula>0.8</formula>
    </cfRule>
  </conditionalFormatting>
  <conditionalFormatting sqref="I39">
    <cfRule type="cellIs" dxfId="2464" priority="2356" stopIfTrue="1" operator="greaterThan">
      <formula>1.2</formula>
    </cfRule>
  </conditionalFormatting>
  <conditionalFormatting sqref="I40">
    <cfRule type="cellIs" dxfId="2463" priority="2355" stopIfTrue="1" operator="between">
      <formula>0.8</formula>
      <formula>1.2</formula>
    </cfRule>
  </conditionalFormatting>
  <conditionalFormatting sqref="I40">
    <cfRule type="cellIs" dxfId="2462" priority="2354" stopIfTrue="1" operator="lessThan">
      <formula>0.8</formula>
    </cfRule>
  </conditionalFormatting>
  <conditionalFormatting sqref="I40">
    <cfRule type="cellIs" dxfId="2461" priority="2353" stopIfTrue="1" operator="greaterThan">
      <formula>1.2</formula>
    </cfRule>
  </conditionalFormatting>
  <conditionalFormatting sqref="I41">
    <cfRule type="cellIs" dxfId="2460" priority="2352" stopIfTrue="1" operator="between">
      <formula>0.8</formula>
      <formula>1.2</formula>
    </cfRule>
  </conditionalFormatting>
  <conditionalFormatting sqref="I41">
    <cfRule type="cellIs" dxfId="2459" priority="2351" stopIfTrue="1" operator="lessThan">
      <formula>0.8</formula>
    </cfRule>
  </conditionalFormatting>
  <conditionalFormatting sqref="I41">
    <cfRule type="cellIs" dxfId="2458" priority="2350" stopIfTrue="1" operator="greaterThan">
      <formula>1.2</formula>
    </cfRule>
  </conditionalFormatting>
  <conditionalFormatting sqref="I42">
    <cfRule type="cellIs" dxfId="2457" priority="2349" stopIfTrue="1" operator="between">
      <formula>0.8</formula>
      <formula>1.2</formula>
    </cfRule>
  </conditionalFormatting>
  <conditionalFormatting sqref="I42">
    <cfRule type="cellIs" dxfId="2456" priority="2348" stopIfTrue="1" operator="lessThan">
      <formula>0.8</formula>
    </cfRule>
  </conditionalFormatting>
  <conditionalFormatting sqref="I42">
    <cfRule type="cellIs" dxfId="2455" priority="2347" stopIfTrue="1" operator="greaterThan">
      <formula>1.2</formula>
    </cfRule>
  </conditionalFormatting>
  <conditionalFormatting sqref="I43">
    <cfRule type="cellIs" dxfId="2454" priority="2346" stopIfTrue="1" operator="between">
      <formula>0.8</formula>
      <formula>1.2</formula>
    </cfRule>
  </conditionalFormatting>
  <conditionalFormatting sqref="I43">
    <cfRule type="cellIs" dxfId="2453" priority="2345" stopIfTrue="1" operator="lessThan">
      <formula>0.8</formula>
    </cfRule>
  </conditionalFormatting>
  <conditionalFormatting sqref="I43">
    <cfRule type="cellIs" dxfId="2452" priority="2344" stopIfTrue="1" operator="greaterThan">
      <formula>1.2</formula>
    </cfRule>
  </conditionalFormatting>
  <conditionalFormatting sqref="I44">
    <cfRule type="cellIs" dxfId="2451" priority="2343" stopIfTrue="1" operator="between">
      <formula>0.8</formula>
      <formula>1.2</formula>
    </cfRule>
  </conditionalFormatting>
  <conditionalFormatting sqref="I44">
    <cfRule type="cellIs" dxfId="2450" priority="2342" stopIfTrue="1" operator="lessThan">
      <formula>0.8</formula>
    </cfRule>
  </conditionalFormatting>
  <conditionalFormatting sqref="I44">
    <cfRule type="cellIs" dxfId="2449" priority="2341" stopIfTrue="1" operator="greaterThan">
      <formula>1.2</formula>
    </cfRule>
  </conditionalFormatting>
  <conditionalFormatting sqref="J25">
    <cfRule type="cellIs" dxfId="2448" priority="2338" stopIfTrue="1" operator="greaterThan">
      <formula>1.2</formula>
    </cfRule>
    <cfRule type="cellIs" dxfId="2447" priority="2339" stopIfTrue="1" operator="lessThan">
      <formula>0.8</formula>
    </cfRule>
    <cfRule type="cellIs" dxfId="2446" priority="2340" stopIfTrue="1" operator="between">
      <formula>0.8</formula>
      <formula>1.2</formula>
    </cfRule>
  </conditionalFormatting>
  <conditionalFormatting sqref="J26">
    <cfRule type="cellIs" dxfId="2445" priority="2335" stopIfTrue="1" operator="greaterThan">
      <formula>1.2</formula>
    </cfRule>
    <cfRule type="cellIs" dxfId="2444" priority="2336" stopIfTrue="1" operator="lessThan">
      <formula>0.8</formula>
    </cfRule>
    <cfRule type="cellIs" dxfId="2443" priority="2337" stopIfTrue="1" operator="between">
      <formula>0.8</formula>
      <formula>1.2</formula>
    </cfRule>
  </conditionalFormatting>
  <conditionalFormatting sqref="J27">
    <cfRule type="cellIs" dxfId="2442" priority="2332" stopIfTrue="1" operator="greaterThan">
      <formula>1.2</formula>
    </cfRule>
    <cfRule type="cellIs" dxfId="2441" priority="2333" stopIfTrue="1" operator="lessThan">
      <formula>0.8</formula>
    </cfRule>
    <cfRule type="cellIs" dxfId="2440" priority="2334" stopIfTrue="1" operator="between">
      <formula>0.8</formula>
      <formula>1.2</formula>
    </cfRule>
  </conditionalFormatting>
  <conditionalFormatting sqref="J28">
    <cfRule type="cellIs" dxfId="2439" priority="2331" stopIfTrue="1" operator="between">
      <formula>0.8</formula>
      <formula>1.2</formula>
    </cfRule>
  </conditionalFormatting>
  <conditionalFormatting sqref="J28">
    <cfRule type="cellIs" dxfId="2438" priority="2330" stopIfTrue="1" operator="lessThan">
      <formula>0.8</formula>
    </cfRule>
  </conditionalFormatting>
  <conditionalFormatting sqref="J28">
    <cfRule type="cellIs" dxfId="2437" priority="2329" stopIfTrue="1" operator="greaterThan">
      <formula>1.2</formula>
    </cfRule>
  </conditionalFormatting>
  <conditionalFormatting sqref="J29">
    <cfRule type="cellIs" dxfId="2436" priority="2328" stopIfTrue="1" operator="between">
      <formula>0.8</formula>
      <formula>1.2</formula>
    </cfRule>
  </conditionalFormatting>
  <conditionalFormatting sqref="J29">
    <cfRule type="cellIs" dxfId="2435" priority="2327" stopIfTrue="1" operator="lessThan">
      <formula>0.8</formula>
    </cfRule>
  </conditionalFormatting>
  <conditionalFormatting sqref="J29">
    <cfRule type="cellIs" dxfId="2434" priority="2326" stopIfTrue="1" operator="greaterThan">
      <formula>1.2</formula>
    </cfRule>
  </conditionalFormatting>
  <conditionalFormatting sqref="J30">
    <cfRule type="cellIs" dxfId="2433" priority="2325" stopIfTrue="1" operator="between">
      <formula>0.8</formula>
      <formula>1.2</formula>
    </cfRule>
  </conditionalFormatting>
  <conditionalFormatting sqref="J30">
    <cfRule type="cellIs" dxfId="2432" priority="2324" stopIfTrue="1" operator="lessThan">
      <formula>0.8</formula>
    </cfRule>
  </conditionalFormatting>
  <conditionalFormatting sqref="J30">
    <cfRule type="cellIs" dxfId="2431" priority="2323" stopIfTrue="1" operator="greaterThan">
      <formula>1.2</formula>
    </cfRule>
  </conditionalFormatting>
  <conditionalFormatting sqref="J31">
    <cfRule type="cellIs" dxfId="2430" priority="2322" stopIfTrue="1" operator="between">
      <formula>0.8</formula>
      <formula>1.2</formula>
    </cfRule>
  </conditionalFormatting>
  <conditionalFormatting sqref="J31">
    <cfRule type="cellIs" dxfId="2429" priority="2321" stopIfTrue="1" operator="lessThan">
      <formula>0.8</formula>
    </cfRule>
  </conditionalFormatting>
  <conditionalFormatting sqref="J31">
    <cfRule type="cellIs" dxfId="2428" priority="2320" stopIfTrue="1" operator="greaterThan">
      <formula>1.2</formula>
    </cfRule>
  </conditionalFormatting>
  <conditionalFormatting sqref="J32">
    <cfRule type="cellIs" dxfId="2427" priority="2319" stopIfTrue="1" operator="between">
      <formula>0.8</formula>
      <formula>1.2</formula>
    </cfRule>
  </conditionalFormatting>
  <conditionalFormatting sqref="J32">
    <cfRule type="cellIs" dxfId="2426" priority="2318" stopIfTrue="1" operator="lessThan">
      <formula>0.8</formula>
    </cfRule>
  </conditionalFormatting>
  <conditionalFormatting sqref="J32">
    <cfRule type="cellIs" dxfId="2425" priority="2317" stopIfTrue="1" operator="greaterThan">
      <formula>1.2</formula>
    </cfRule>
  </conditionalFormatting>
  <conditionalFormatting sqref="J33">
    <cfRule type="cellIs" dxfId="2424" priority="2316" stopIfTrue="1" operator="between">
      <formula>0.8</formula>
      <formula>1.2</formula>
    </cfRule>
  </conditionalFormatting>
  <conditionalFormatting sqref="J33">
    <cfRule type="cellIs" dxfId="2423" priority="2315" stopIfTrue="1" operator="lessThan">
      <formula>0.8</formula>
    </cfRule>
  </conditionalFormatting>
  <conditionalFormatting sqref="J33">
    <cfRule type="cellIs" dxfId="2422" priority="2314" stopIfTrue="1" operator="greaterThan">
      <formula>1.2</formula>
    </cfRule>
  </conditionalFormatting>
  <conditionalFormatting sqref="J34">
    <cfRule type="cellIs" dxfId="2421" priority="2313" stopIfTrue="1" operator="between">
      <formula>0.8</formula>
      <formula>1.2</formula>
    </cfRule>
  </conditionalFormatting>
  <conditionalFormatting sqref="J34">
    <cfRule type="cellIs" dxfId="2420" priority="2312" stopIfTrue="1" operator="lessThan">
      <formula>0.8</formula>
    </cfRule>
  </conditionalFormatting>
  <conditionalFormatting sqref="J34">
    <cfRule type="cellIs" dxfId="2419" priority="2311" stopIfTrue="1" operator="greaterThan">
      <formula>1.2</formula>
    </cfRule>
  </conditionalFormatting>
  <conditionalFormatting sqref="J35">
    <cfRule type="cellIs" dxfId="2418" priority="2310" stopIfTrue="1" operator="between">
      <formula>0.8</formula>
      <formula>1.2</formula>
    </cfRule>
  </conditionalFormatting>
  <conditionalFormatting sqref="J35">
    <cfRule type="cellIs" dxfId="2417" priority="2309" stopIfTrue="1" operator="lessThan">
      <formula>0.8</formula>
    </cfRule>
  </conditionalFormatting>
  <conditionalFormatting sqref="J35">
    <cfRule type="cellIs" dxfId="2416" priority="2308" stopIfTrue="1" operator="greaterThan">
      <formula>1.2</formula>
    </cfRule>
  </conditionalFormatting>
  <conditionalFormatting sqref="J36">
    <cfRule type="cellIs" dxfId="2415" priority="2307" stopIfTrue="1" operator="between">
      <formula>0.8</formula>
      <formula>1.2</formula>
    </cfRule>
  </conditionalFormatting>
  <conditionalFormatting sqref="J36">
    <cfRule type="cellIs" dxfId="2414" priority="2306" stopIfTrue="1" operator="lessThan">
      <formula>0.8</formula>
    </cfRule>
  </conditionalFormatting>
  <conditionalFormatting sqref="J36">
    <cfRule type="cellIs" dxfId="2413" priority="2305" stopIfTrue="1" operator="greaterThan">
      <formula>1.2</formula>
    </cfRule>
  </conditionalFormatting>
  <conditionalFormatting sqref="J37">
    <cfRule type="cellIs" dxfId="2412" priority="2304" stopIfTrue="1" operator="between">
      <formula>0.8</formula>
      <formula>1.2</formula>
    </cfRule>
  </conditionalFormatting>
  <conditionalFormatting sqref="J37">
    <cfRule type="cellIs" dxfId="2411" priority="2303" stopIfTrue="1" operator="lessThan">
      <formula>0.8</formula>
    </cfRule>
  </conditionalFormatting>
  <conditionalFormatting sqref="J37">
    <cfRule type="cellIs" dxfId="2410" priority="2302" stopIfTrue="1" operator="greaterThan">
      <formula>1.2</formula>
    </cfRule>
  </conditionalFormatting>
  <conditionalFormatting sqref="J38">
    <cfRule type="cellIs" dxfId="2409" priority="2301" stopIfTrue="1" operator="between">
      <formula>0.8</formula>
      <formula>1.2</formula>
    </cfRule>
  </conditionalFormatting>
  <conditionalFormatting sqref="J38">
    <cfRule type="cellIs" dxfId="2408" priority="2300" stopIfTrue="1" operator="lessThan">
      <formula>0.8</formula>
    </cfRule>
  </conditionalFormatting>
  <conditionalFormatting sqref="J38">
    <cfRule type="cellIs" dxfId="2407" priority="2299" stopIfTrue="1" operator="greaterThan">
      <formula>1.2</formula>
    </cfRule>
  </conditionalFormatting>
  <conditionalFormatting sqref="J39">
    <cfRule type="cellIs" dxfId="2406" priority="2298" stopIfTrue="1" operator="between">
      <formula>0.8</formula>
      <formula>1.2</formula>
    </cfRule>
  </conditionalFormatting>
  <conditionalFormatting sqref="J39">
    <cfRule type="cellIs" dxfId="2405" priority="2297" stopIfTrue="1" operator="lessThan">
      <formula>0.8</formula>
    </cfRule>
  </conditionalFormatting>
  <conditionalFormatting sqref="J39">
    <cfRule type="cellIs" dxfId="2404" priority="2296" stopIfTrue="1" operator="greaterThan">
      <formula>1.2</formula>
    </cfRule>
  </conditionalFormatting>
  <conditionalFormatting sqref="J40">
    <cfRule type="cellIs" dxfId="2403" priority="2295" stopIfTrue="1" operator="between">
      <formula>0.8</formula>
      <formula>1.2</formula>
    </cfRule>
  </conditionalFormatting>
  <conditionalFormatting sqref="J40">
    <cfRule type="cellIs" dxfId="2402" priority="2294" stopIfTrue="1" operator="lessThan">
      <formula>0.8</formula>
    </cfRule>
  </conditionalFormatting>
  <conditionalFormatting sqref="J40">
    <cfRule type="cellIs" dxfId="2401" priority="2293" stopIfTrue="1" operator="greaterThan">
      <formula>1.2</formula>
    </cfRule>
  </conditionalFormatting>
  <conditionalFormatting sqref="J41">
    <cfRule type="cellIs" dxfId="2400" priority="2292" stopIfTrue="1" operator="between">
      <formula>0.8</formula>
      <formula>1.2</formula>
    </cfRule>
  </conditionalFormatting>
  <conditionalFormatting sqref="J41">
    <cfRule type="cellIs" dxfId="2399" priority="2291" stopIfTrue="1" operator="lessThan">
      <formula>0.8</formula>
    </cfRule>
  </conditionalFormatting>
  <conditionalFormatting sqref="J41">
    <cfRule type="cellIs" dxfId="2398" priority="2290" stopIfTrue="1" operator="greaterThan">
      <formula>1.2</formula>
    </cfRule>
  </conditionalFormatting>
  <conditionalFormatting sqref="J42">
    <cfRule type="cellIs" dxfId="2397" priority="2289" stopIfTrue="1" operator="between">
      <formula>0.8</formula>
      <formula>1.2</formula>
    </cfRule>
  </conditionalFormatting>
  <conditionalFormatting sqref="J42">
    <cfRule type="cellIs" dxfId="2396" priority="2288" stopIfTrue="1" operator="lessThan">
      <formula>0.8</formula>
    </cfRule>
  </conditionalFormatting>
  <conditionalFormatting sqref="J42">
    <cfRule type="cellIs" dxfId="2395" priority="2287" stopIfTrue="1" operator="greaterThan">
      <formula>1.2</formula>
    </cfRule>
  </conditionalFormatting>
  <conditionalFormatting sqref="J43">
    <cfRule type="cellIs" dxfId="2394" priority="2286" stopIfTrue="1" operator="between">
      <formula>0.8</formula>
      <formula>1.2</formula>
    </cfRule>
  </conditionalFormatting>
  <conditionalFormatting sqref="J43">
    <cfRule type="cellIs" dxfId="2393" priority="2285" stopIfTrue="1" operator="lessThan">
      <formula>0.8</formula>
    </cfRule>
  </conditionalFormatting>
  <conditionalFormatting sqref="J43">
    <cfRule type="cellIs" dxfId="2392" priority="2284" stopIfTrue="1" operator="greaterThan">
      <formula>1.2</formula>
    </cfRule>
  </conditionalFormatting>
  <conditionalFormatting sqref="J44">
    <cfRule type="cellIs" dxfId="2391" priority="2283" stopIfTrue="1" operator="between">
      <formula>0.8</formula>
      <formula>1.2</formula>
    </cfRule>
  </conditionalFormatting>
  <conditionalFormatting sqref="J44">
    <cfRule type="cellIs" dxfId="2390" priority="2282" stopIfTrue="1" operator="lessThan">
      <formula>0.8</formula>
    </cfRule>
  </conditionalFormatting>
  <conditionalFormatting sqref="J44">
    <cfRule type="cellIs" dxfId="2389" priority="2281" stopIfTrue="1" operator="greaterThan">
      <formula>1.2</formula>
    </cfRule>
  </conditionalFormatting>
  <conditionalFormatting sqref="K25">
    <cfRule type="cellIs" dxfId="2388" priority="2278" stopIfTrue="1" operator="greaterThan">
      <formula>1.2</formula>
    </cfRule>
    <cfRule type="cellIs" dxfId="2387" priority="2279" stopIfTrue="1" operator="lessThan">
      <formula>0.8</formula>
    </cfRule>
    <cfRule type="cellIs" dxfId="2386" priority="2280" stopIfTrue="1" operator="between">
      <formula>0.8</formula>
      <formula>1.2</formula>
    </cfRule>
  </conditionalFormatting>
  <conditionalFormatting sqref="K26">
    <cfRule type="cellIs" dxfId="2385" priority="2277" stopIfTrue="1" operator="between">
      <formula>0.8</formula>
      <formula>1.2</formula>
    </cfRule>
  </conditionalFormatting>
  <conditionalFormatting sqref="K26">
    <cfRule type="cellIs" dxfId="2384" priority="2276" stopIfTrue="1" operator="lessThan">
      <formula>0.8</formula>
    </cfRule>
  </conditionalFormatting>
  <conditionalFormatting sqref="K26">
    <cfRule type="cellIs" dxfId="2383" priority="2275" stopIfTrue="1" operator="greaterThan">
      <formula>1.2</formula>
    </cfRule>
  </conditionalFormatting>
  <conditionalFormatting sqref="K27">
    <cfRule type="cellIs" dxfId="2382" priority="2274" stopIfTrue="1" operator="between">
      <formula>0.8</formula>
      <formula>1.2</formula>
    </cfRule>
  </conditionalFormatting>
  <conditionalFormatting sqref="K27">
    <cfRule type="cellIs" dxfId="2381" priority="2273" stopIfTrue="1" operator="lessThan">
      <formula>0.8</formula>
    </cfRule>
  </conditionalFormatting>
  <conditionalFormatting sqref="K27">
    <cfRule type="cellIs" dxfId="2380" priority="2272" stopIfTrue="1" operator="greaterThan">
      <formula>1.2</formula>
    </cfRule>
  </conditionalFormatting>
  <conditionalFormatting sqref="K28">
    <cfRule type="cellIs" dxfId="2379" priority="2271" stopIfTrue="1" operator="between">
      <formula>0.8</formula>
      <formula>1.2</formula>
    </cfRule>
  </conditionalFormatting>
  <conditionalFormatting sqref="K28">
    <cfRule type="cellIs" dxfId="2378" priority="2270" stopIfTrue="1" operator="lessThan">
      <formula>0.8</formula>
    </cfRule>
  </conditionalFormatting>
  <conditionalFormatting sqref="K28">
    <cfRule type="cellIs" dxfId="2377" priority="2269" stopIfTrue="1" operator="greaterThan">
      <formula>1.2</formula>
    </cfRule>
  </conditionalFormatting>
  <conditionalFormatting sqref="K29">
    <cfRule type="cellIs" dxfId="2376" priority="2268" stopIfTrue="1" operator="between">
      <formula>0.8</formula>
      <formula>1.2</formula>
    </cfRule>
  </conditionalFormatting>
  <conditionalFormatting sqref="K29">
    <cfRule type="cellIs" dxfId="2375" priority="2267" stopIfTrue="1" operator="lessThan">
      <formula>0.8</formula>
    </cfRule>
  </conditionalFormatting>
  <conditionalFormatting sqref="K29">
    <cfRule type="cellIs" dxfId="2374" priority="2266" stopIfTrue="1" operator="greaterThan">
      <formula>1.2</formula>
    </cfRule>
  </conditionalFormatting>
  <conditionalFormatting sqref="K30">
    <cfRule type="cellIs" dxfId="2373" priority="2265" stopIfTrue="1" operator="between">
      <formula>0.8</formula>
      <formula>1.2</formula>
    </cfRule>
  </conditionalFormatting>
  <conditionalFormatting sqref="K30">
    <cfRule type="cellIs" dxfId="2372" priority="2264" stopIfTrue="1" operator="lessThan">
      <formula>0.8</formula>
    </cfRule>
  </conditionalFormatting>
  <conditionalFormatting sqref="K30">
    <cfRule type="cellIs" dxfId="2371" priority="2263" stopIfTrue="1" operator="greaterThan">
      <formula>1.2</formula>
    </cfRule>
  </conditionalFormatting>
  <conditionalFormatting sqref="K31">
    <cfRule type="cellIs" dxfId="2370" priority="2262" stopIfTrue="1" operator="between">
      <formula>0.8</formula>
      <formula>1.2</formula>
    </cfRule>
  </conditionalFormatting>
  <conditionalFormatting sqref="K31">
    <cfRule type="cellIs" dxfId="2369" priority="2261" stopIfTrue="1" operator="lessThan">
      <formula>0.8</formula>
    </cfRule>
  </conditionalFormatting>
  <conditionalFormatting sqref="K31">
    <cfRule type="cellIs" dxfId="2368" priority="2260" stopIfTrue="1" operator="greaterThan">
      <formula>1.2</formula>
    </cfRule>
  </conditionalFormatting>
  <conditionalFormatting sqref="K32">
    <cfRule type="cellIs" dxfId="2367" priority="2259" stopIfTrue="1" operator="between">
      <formula>0.8</formula>
      <formula>1.2</formula>
    </cfRule>
  </conditionalFormatting>
  <conditionalFormatting sqref="K32">
    <cfRule type="cellIs" dxfId="2366" priority="2258" stopIfTrue="1" operator="lessThan">
      <formula>0.8</formula>
    </cfRule>
  </conditionalFormatting>
  <conditionalFormatting sqref="K32">
    <cfRule type="cellIs" dxfId="2365" priority="2257" stopIfTrue="1" operator="greaterThan">
      <formula>1.2</formula>
    </cfRule>
  </conditionalFormatting>
  <conditionalFormatting sqref="K33">
    <cfRule type="cellIs" dxfId="2364" priority="2256" stopIfTrue="1" operator="between">
      <formula>0.8</formula>
      <formula>1.2</formula>
    </cfRule>
  </conditionalFormatting>
  <conditionalFormatting sqref="K33">
    <cfRule type="cellIs" dxfId="2363" priority="2255" stopIfTrue="1" operator="lessThan">
      <formula>0.8</formula>
    </cfRule>
  </conditionalFormatting>
  <conditionalFormatting sqref="K33">
    <cfRule type="cellIs" dxfId="2362" priority="2254" stopIfTrue="1" operator="greaterThan">
      <formula>1.2</formula>
    </cfRule>
  </conditionalFormatting>
  <conditionalFormatting sqref="K34">
    <cfRule type="cellIs" dxfId="2361" priority="2253" stopIfTrue="1" operator="between">
      <formula>0.8</formula>
      <formula>1.2</formula>
    </cfRule>
  </conditionalFormatting>
  <conditionalFormatting sqref="K34">
    <cfRule type="cellIs" dxfId="2360" priority="2252" stopIfTrue="1" operator="lessThan">
      <formula>0.8</formula>
    </cfRule>
  </conditionalFormatting>
  <conditionalFormatting sqref="K34">
    <cfRule type="cellIs" dxfId="2359" priority="2251" stopIfTrue="1" operator="greaterThan">
      <formula>1.2</formula>
    </cfRule>
  </conditionalFormatting>
  <conditionalFormatting sqref="K35">
    <cfRule type="cellIs" dxfId="2358" priority="2250" stopIfTrue="1" operator="between">
      <formula>0.8</formula>
      <formula>1.2</formula>
    </cfRule>
  </conditionalFormatting>
  <conditionalFormatting sqref="K35">
    <cfRule type="cellIs" dxfId="2357" priority="2249" stopIfTrue="1" operator="lessThan">
      <formula>0.8</formula>
    </cfRule>
  </conditionalFormatting>
  <conditionalFormatting sqref="K35">
    <cfRule type="cellIs" dxfId="2356" priority="2248" stopIfTrue="1" operator="greaterThan">
      <formula>1.2</formula>
    </cfRule>
  </conditionalFormatting>
  <conditionalFormatting sqref="K36">
    <cfRule type="cellIs" dxfId="2355" priority="2247" stopIfTrue="1" operator="between">
      <formula>0.8</formula>
      <formula>1.2</formula>
    </cfRule>
  </conditionalFormatting>
  <conditionalFormatting sqref="K36">
    <cfRule type="cellIs" dxfId="2354" priority="2246" stopIfTrue="1" operator="lessThan">
      <formula>0.8</formula>
    </cfRule>
  </conditionalFormatting>
  <conditionalFormatting sqref="K36">
    <cfRule type="cellIs" dxfId="2353" priority="2245" stopIfTrue="1" operator="greaterThan">
      <formula>1.2</formula>
    </cfRule>
  </conditionalFormatting>
  <conditionalFormatting sqref="K37">
    <cfRule type="cellIs" dxfId="2352" priority="2244" stopIfTrue="1" operator="between">
      <formula>0.8</formula>
      <formula>1.2</formula>
    </cfRule>
  </conditionalFormatting>
  <conditionalFormatting sqref="K37">
    <cfRule type="cellIs" dxfId="2351" priority="2243" stopIfTrue="1" operator="lessThan">
      <formula>0.8</formula>
    </cfRule>
  </conditionalFormatting>
  <conditionalFormatting sqref="K37">
    <cfRule type="cellIs" dxfId="2350" priority="2242" stopIfTrue="1" operator="greaterThan">
      <formula>1.2</formula>
    </cfRule>
  </conditionalFormatting>
  <conditionalFormatting sqref="K38">
    <cfRule type="cellIs" dxfId="2349" priority="2241" stopIfTrue="1" operator="between">
      <formula>0.8</formula>
      <formula>1.2</formula>
    </cfRule>
  </conditionalFormatting>
  <conditionalFormatting sqref="K38">
    <cfRule type="cellIs" dxfId="2348" priority="2240" stopIfTrue="1" operator="lessThan">
      <formula>0.8</formula>
    </cfRule>
  </conditionalFormatting>
  <conditionalFormatting sqref="K38">
    <cfRule type="cellIs" dxfId="2347" priority="2239" stopIfTrue="1" operator="greaterThan">
      <formula>1.2</formula>
    </cfRule>
  </conditionalFormatting>
  <conditionalFormatting sqref="K39">
    <cfRule type="cellIs" dxfId="2346" priority="2238" stopIfTrue="1" operator="between">
      <formula>0.8</formula>
      <formula>1.2</formula>
    </cfRule>
  </conditionalFormatting>
  <conditionalFormatting sqref="K39">
    <cfRule type="cellIs" dxfId="2345" priority="2237" stopIfTrue="1" operator="lessThan">
      <formula>0.8</formula>
    </cfRule>
  </conditionalFormatting>
  <conditionalFormatting sqref="K39">
    <cfRule type="cellIs" dxfId="2344" priority="2236" stopIfTrue="1" operator="greaterThan">
      <formula>1.2</formula>
    </cfRule>
  </conditionalFormatting>
  <conditionalFormatting sqref="K40">
    <cfRule type="cellIs" dxfId="2343" priority="2235" stopIfTrue="1" operator="between">
      <formula>0.8</formula>
      <formula>1.2</formula>
    </cfRule>
  </conditionalFormatting>
  <conditionalFormatting sqref="K40">
    <cfRule type="cellIs" dxfId="2342" priority="2234" stopIfTrue="1" operator="lessThan">
      <formula>0.8</formula>
    </cfRule>
  </conditionalFormatting>
  <conditionalFormatting sqref="K40">
    <cfRule type="cellIs" dxfId="2341" priority="2233" stopIfTrue="1" operator="greaterThan">
      <formula>1.2</formula>
    </cfRule>
  </conditionalFormatting>
  <conditionalFormatting sqref="K41">
    <cfRule type="cellIs" dxfId="2340" priority="2232" stopIfTrue="1" operator="between">
      <formula>0.8</formula>
      <formula>1.2</formula>
    </cfRule>
  </conditionalFormatting>
  <conditionalFormatting sqref="K41">
    <cfRule type="cellIs" dxfId="2339" priority="2231" stopIfTrue="1" operator="lessThan">
      <formula>0.8</formula>
    </cfRule>
  </conditionalFormatting>
  <conditionalFormatting sqref="K41">
    <cfRule type="cellIs" dxfId="2338" priority="2230" stopIfTrue="1" operator="greaterThan">
      <formula>1.2</formula>
    </cfRule>
  </conditionalFormatting>
  <conditionalFormatting sqref="K42">
    <cfRule type="cellIs" dxfId="2337" priority="2229" stopIfTrue="1" operator="between">
      <formula>0.8</formula>
      <formula>1.2</formula>
    </cfRule>
  </conditionalFormatting>
  <conditionalFormatting sqref="K42">
    <cfRule type="cellIs" dxfId="2336" priority="2228" stopIfTrue="1" operator="lessThan">
      <formula>0.8</formula>
    </cfRule>
  </conditionalFormatting>
  <conditionalFormatting sqref="K42">
    <cfRule type="cellIs" dxfId="2335" priority="2227" stopIfTrue="1" operator="greaterThan">
      <formula>1.2</formula>
    </cfRule>
  </conditionalFormatting>
  <conditionalFormatting sqref="K43">
    <cfRule type="cellIs" dxfId="2334" priority="2226" stopIfTrue="1" operator="between">
      <formula>0.8</formula>
      <formula>1.2</formula>
    </cfRule>
  </conditionalFormatting>
  <conditionalFormatting sqref="K43">
    <cfRule type="cellIs" dxfId="2333" priority="2225" stopIfTrue="1" operator="lessThan">
      <formula>0.8</formula>
    </cfRule>
  </conditionalFormatting>
  <conditionalFormatting sqref="K43">
    <cfRule type="cellIs" dxfId="2332" priority="2224" stopIfTrue="1" operator="greaterThan">
      <formula>1.2</formula>
    </cfRule>
  </conditionalFormatting>
  <conditionalFormatting sqref="K44">
    <cfRule type="cellIs" dxfId="2331" priority="2223" stopIfTrue="1" operator="between">
      <formula>0.8</formula>
      <formula>1.2</formula>
    </cfRule>
  </conditionalFormatting>
  <conditionalFormatting sqref="K44">
    <cfRule type="cellIs" dxfId="2330" priority="2222" stopIfTrue="1" operator="lessThan">
      <formula>0.8</formula>
    </cfRule>
  </conditionalFormatting>
  <conditionalFormatting sqref="K44">
    <cfRule type="cellIs" dxfId="2329" priority="2221" stopIfTrue="1" operator="greaterThan">
      <formula>1.2</formula>
    </cfRule>
  </conditionalFormatting>
  <conditionalFormatting sqref="L25">
    <cfRule type="cellIs" dxfId="2328" priority="2220" stopIfTrue="1" operator="between">
      <formula>0.8</formula>
      <formula>1.2</formula>
    </cfRule>
  </conditionalFormatting>
  <conditionalFormatting sqref="L25">
    <cfRule type="cellIs" dxfId="2327" priority="2219" stopIfTrue="1" operator="lessThan">
      <formula>0.8</formula>
    </cfRule>
  </conditionalFormatting>
  <conditionalFormatting sqref="L25">
    <cfRule type="cellIs" dxfId="2326" priority="2218" stopIfTrue="1" operator="greaterThan">
      <formula>1.2</formula>
    </cfRule>
  </conditionalFormatting>
  <conditionalFormatting sqref="L26">
    <cfRule type="cellIs" dxfId="2325" priority="2217" stopIfTrue="1" operator="between">
      <formula>0.8</formula>
      <formula>1.2</formula>
    </cfRule>
  </conditionalFormatting>
  <conditionalFormatting sqref="L26">
    <cfRule type="cellIs" dxfId="2324" priority="2216" stopIfTrue="1" operator="lessThan">
      <formula>0.8</formula>
    </cfRule>
  </conditionalFormatting>
  <conditionalFormatting sqref="L26">
    <cfRule type="cellIs" dxfId="2323" priority="2215" stopIfTrue="1" operator="greaterThan">
      <formula>1.2</formula>
    </cfRule>
  </conditionalFormatting>
  <conditionalFormatting sqref="L27">
    <cfRule type="cellIs" dxfId="2322" priority="2214" stopIfTrue="1" operator="between">
      <formula>0.8</formula>
      <formula>1.2</formula>
    </cfRule>
  </conditionalFormatting>
  <conditionalFormatting sqref="L27">
    <cfRule type="cellIs" dxfId="2321" priority="2213" stopIfTrue="1" operator="lessThan">
      <formula>0.8</formula>
    </cfRule>
  </conditionalFormatting>
  <conditionalFormatting sqref="L27">
    <cfRule type="cellIs" dxfId="2320" priority="2212" stopIfTrue="1" operator="greaterThan">
      <formula>1.2</formula>
    </cfRule>
  </conditionalFormatting>
  <conditionalFormatting sqref="L28">
    <cfRule type="cellIs" dxfId="2319" priority="2211" stopIfTrue="1" operator="between">
      <formula>0.8</formula>
      <formula>1.2</formula>
    </cfRule>
  </conditionalFormatting>
  <conditionalFormatting sqref="L28">
    <cfRule type="cellIs" dxfId="2318" priority="2210" stopIfTrue="1" operator="lessThan">
      <formula>0.8</formula>
    </cfRule>
  </conditionalFormatting>
  <conditionalFormatting sqref="L28">
    <cfRule type="cellIs" dxfId="2317" priority="2209" stopIfTrue="1" operator="greaterThan">
      <formula>1.2</formula>
    </cfRule>
  </conditionalFormatting>
  <conditionalFormatting sqref="L29">
    <cfRule type="cellIs" dxfId="2316" priority="2208" stopIfTrue="1" operator="between">
      <formula>0.8</formula>
      <formula>1.2</formula>
    </cfRule>
  </conditionalFormatting>
  <conditionalFormatting sqref="L29">
    <cfRule type="cellIs" dxfId="2315" priority="2207" stopIfTrue="1" operator="lessThan">
      <formula>0.8</formula>
    </cfRule>
  </conditionalFormatting>
  <conditionalFormatting sqref="L29">
    <cfRule type="cellIs" dxfId="2314" priority="2206" stopIfTrue="1" operator="greaterThan">
      <formula>1.2</formula>
    </cfRule>
  </conditionalFormatting>
  <conditionalFormatting sqref="L30">
    <cfRule type="cellIs" dxfId="2313" priority="2205" stopIfTrue="1" operator="between">
      <formula>0.8</formula>
      <formula>1.2</formula>
    </cfRule>
  </conditionalFormatting>
  <conditionalFormatting sqref="L30">
    <cfRule type="cellIs" dxfId="2312" priority="2204" stopIfTrue="1" operator="lessThan">
      <formula>0.8</formula>
    </cfRule>
  </conditionalFormatting>
  <conditionalFormatting sqref="L30">
    <cfRule type="cellIs" dxfId="2311" priority="2203" stopIfTrue="1" operator="greaterThan">
      <formula>1.2</formula>
    </cfRule>
  </conditionalFormatting>
  <conditionalFormatting sqref="L31">
    <cfRule type="cellIs" dxfId="2310" priority="2202" stopIfTrue="1" operator="between">
      <formula>0.8</formula>
      <formula>1.2</formula>
    </cfRule>
  </conditionalFormatting>
  <conditionalFormatting sqref="L31">
    <cfRule type="cellIs" dxfId="2309" priority="2201" stopIfTrue="1" operator="lessThan">
      <formula>0.8</formula>
    </cfRule>
  </conditionalFormatting>
  <conditionalFormatting sqref="L31">
    <cfRule type="cellIs" dxfId="2308" priority="2200" stopIfTrue="1" operator="greaterThan">
      <formula>1.2</formula>
    </cfRule>
  </conditionalFormatting>
  <conditionalFormatting sqref="L32">
    <cfRule type="cellIs" dxfId="2307" priority="2199" stopIfTrue="1" operator="between">
      <formula>0.8</formula>
      <formula>1.2</formula>
    </cfRule>
  </conditionalFormatting>
  <conditionalFormatting sqref="L32">
    <cfRule type="cellIs" dxfId="2306" priority="2198" stopIfTrue="1" operator="lessThan">
      <formula>0.8</formula>
    </cfRule>
  </conditionalFormatting>
  <conditionalFormatting sqref="L32">
    <cfRule type="cellIs" dxfId="2305" priority="2197" stopIfTrue="1" operator="greaterThan">
      <formula>1.2</formula>
    </cfRule>
  </conditionalFormatting>
  <conditionalFormatting sqref="L33">
    <cfRule type="cellIs" dxfId="2304" priority="2196" stopIfTrue="1" operator="between">
      <formula>0.8</formula>
      <formula>1.2</formula>
    </cfRule>
  </conditionalFormatting>
  <conditionalFormatting sqref="L33">
    <cfRule type="cellIs" dxfId="2303" priority="2195" stopIfTrue="1" operator="lessThan">
      <formula>0.8</formula>
    </cfRule>
  </conditionalFormatting>
  <conditionalFormatting sqref="L33">
    <cfRule type="cellIs" dxfId="2302" priority="2194" stopIfTrue="1" operator="greaterThan">
      <formula>1.2</formula>
    </cfRule>
  </conditionalFormatting>
  <conditionalFormatting sqref="L34">
    <cfRule type="cellIs" dxfId="2301" priority="2193" stopIfTrue="1" operator="between">
      <formula>0.8</formula>
      <formula>1.2</formula>
    </cfRule>
  </conditionalFormatting>
  <conditionalFormatting sqref="L34">
    <cfRule type="cellIs" dxfId="2300" priority="2192" stopIfTrue="1" operator="lessThan">
      <formula>0.8</formula>
    </cfRule>
  </conditionalFormatting>
  <conditionalFormatting sqref="L34">
    <cfRule type="cellIs" dxfId="2299" priority="2191" stopIfTrue="1" operator="greaterThan">
      <formula>1.2</formula>
    </cfRule>
  </conditionalFormatting>
  <conditionalFormatting sqref="L35">
    <cfRule type="cellIs" dxfId="2298" priority="2190" stopIfTrue="1" operator="between">
      <formula>0.8</formula>
      <formula>1.2</formula>
    </cfRule>
  </conditionalFormatting>
  <conditionalFormatting sqref="L35">
    <cfRule type="cellIs" dxfId="2297" priority="2189" stopIfTrue="1" operator="lessThan">
      <formula>0.8</formula>
    </cfRule>
  </conditionalFormatting>
  <conditionalFormatting sqref="L35">
    <cfRule type="cellIs" dxfId="2296" priority="2188" stopIfTrue="1" operator="greaterThan">
      <formula>1.2</formula>
    </cfRule>
  </conditionalFormatting>
  <conditionalFormatting sqref="L36">
    <cfRule type="cellIs" dxfId="2295" priority="2187" stopIfTrue="1" operator="between">
      <formula>0.8</formula>
      <formula>1.2</formula>
    </cfRule>
  </conditionalFormatting>
  <conditionalFormatting sqref="L36">
    <cfRule type="cellIs" dxfId="2294" priority="2186" stopIfTrue="1" operator="lessThan">
      <formula>0.8</formula>
    </cfRule>
  </conditionalFormatting>
  <conditionalFormatting sqref="L36">
    <cfRule type="cellIs" dxfId="2293" priority="2185" stopIfTrue="1" operator="greaterThan">
      <formula>1.2</formula>
    </cfRule>
  </conditionalFormatting>
  <conditionalFormatting sqref="L37">
    <cfRule type="cellIs" dxfId="2292" priority="2184" stopIfTrue="1" operator="between">
      <formula>0.8</formula>
      <formula>1.2</formula>
    </cfRule>
  </conditionalFormatting>
  <conditionalFormatting sqref="L37">
    <cfRule type="cellIs" dxfId="2291" priority="2183" stopIfTrue="1" operator="lessThan">
      <formula>0.8</formula>
    </cfRule>
  </conditionalFormatting>
  <conditionalFormatting sqref="L37">
    <cfRule type="cellIs" dxfId="2290" priority="2182" stopIfTrue="1" operator="greaterThan">
      <formula>1.2</formula>
    </cfRule>
  </conditionalFormatting>
  <conditionalFormatting sqref="L38">
    <cfRule type="cellIs" dxfId="2289" priority="2181" stopIfTrue="1" operator="between">
      <formula>0.8</formula>
      <formula>1.2</formula>
    </cfRule>
  </conditionalFormatting>
  <conditionalFormatting sqref="L38">
    <cfRule type="cellIs" dxfId="2288" priority="2180" stopIfTrue="1" operator="lessThan">
      <formula>0.8</formula>
    </cfRule>
  </conditionalFormatting>
  <conditionalFormatting sqref="L38">
    <cfRule type="cellIs" dxfId="2287" priority="2179" stopIfTrue="1" operator="greaterThan">
      <formula>1.2</formula>
    </cfRule>
  </conditionalFormatting>
  <conditionalFormatting sqref="L39">
    <cfRule type="cellIs" dxfId="2286" priority="2178" stopIfTrue="1" operator="between">
      <formula>0.8</formula>
      <formula>1.2</formula>
    </cfRule>
  </conditionalFormatting>
  <conditionalFormatting sqref="L39">
    <cfRule type="cellIs" dxfId="2285" priority="2177" stopIfTrue="1" operator="lessThan">
      <formula>0.8</formula>
    </cfRule>
  </conditionalFormatting>
  <conditionalFormatting sqref="L39">
    <cfRule type="cellIs" dxfId="2284" priority="2176" stopIfTrue="1" operator="greaterThan">
      <formula>1.2</formula>
    </cfRule>
  </conditionalFormatting>
  <conditionalFormatting sqref="L40">
    <cfRule type="cellIs" dxfId="2283" priority="2175" stopIfTrue="1" operator="between">
      <formula>0.8</formula>
      <formula>1.2</formula>
    </cfRule>
  </conditionalFormatting>
  <conditionalFormatting sqref="L40">
    <cfRule type="cellIs" dxfId="2282" priority="2174" stopIfTrue="1" operator="lessThan">
      <formula>0.8</formula>
    </cfRule>
  </conditionalFormatting>
  <conditionalFormatting sqref="L40">
    <cfRule type="cellIs" dxfId="2281" priority="2173" stopIfTrue="1" operator="greaterThan">
      <formula>1.2</formula>
    </cfRule>
  </conditionalFormatting>
  <conditionalFormatting sqref="L41">
    <cfRule type="cellIs" dxfId="2280" priority="2172" stopIfTrue="1" operator="between">
      <formula>0.8</formula>
      <formula>1.2</formula>
    </cfRule>
  </conditionalFormatting>
  <conditionalFormatting sqref="L41">
    <cfRule type="cellIs" dxfId="2279" priority="2171" stopIfTrue="1" operator="lessThan">
      <formula>0.8</formula>
    </cfRule>
  </conditionalFormatting>
  <conditionalFormatting sqref="L41">
    <cfRule type="cellIs" dxfId="2278" priority="2170" stopIfTrue="1" operator="greaterThan">
      <formula>1.2</formula>
    </cfRule>
  </conditionalFormatting>
  <conditionalFormatting sqref="L42">
    <cfRule type="cellIs" dxfId="2277" priority="2169" stopIfTrue="1" operator="between">
      <formula>0.8</formula>
      <formula>1.2</formula>
    </cfRule>
  </conditionalFormatting>
  <conditionalFormatting sqref="L42">
    <cfRule type="cellIs" dxfId="2276" priority="2168" stopIfTrue="1" operator="lessThan">
      <formula>0.8</formula>
    </cfRule>
  </conditionalFormatting>
  <conditionalFormatting sqref="L42">
    <cfRule type="cellIs" dxfId="2275" priority="2167" stopIfTrue="1" operator="greaterThan">
      <formula>1.2</formula>
    </cfRule>
  </conditionalFormatting>
  <conditionalFormatting sqref="L43">
    <cfRule type="cellIs" dxfId="2274" priority="2166" stopIfTrue="1" operator="between">
      <formula>0.8</formula>
      <formula>1.2</formula>
    </cfRule>
  </conditionalFormatting>
  <conditionalFormatting sqref="L43">
    <cfRule type="cellIs" dxfId="2273" priority="2165" stopIfTrue="1" operator="lessThan">
      <formula>0.8</formula>
    </cfRule>
  </conditionalFormatting>
  <conditionalFormatting sqref="L43">
    <cfRule type="cellIs" dxfId="2272" priority="2164" stopIfTrue="1" operator="greaterThan">
      <formula>1.2</formula>
    </cfRule>
  </conditionalFormatting>
  <conditionalFormatting sqref="L44">
    <cfRule type="cellIs" dxfId="2271" priority="2163" stopIfTrue="1" operator="between">
      <formula>0.8</formula>
      <formula>1.2</formula>
    </cfRule>
  </conditionalFormatting>
  <conditionalFormatting sqref="L44">
    <cfRule type="cellIs" dxfId="2270" priority="2162" stopIfTrue="1" operator="lessThan">
      <formula>0.8</formula>
    </cfRule>
  </conditionalFormatting>
  <conditionalFormatting sqref="L44">
    <cfRule type="cellIs" dxfId="2269" priority="2161" stopIfTrue="1" operator="greaterThan">
      <formula>1.2</formula>
    </cfRule>
  </conditionalFormatting>
  <conditionalFormatting sqref="M25">
    <cfRule type="cellIs" dxfId="2268" priority="2160" stopIfTrue="1" operator="between">
      <formula>0.8</formula>
      <formula>1.2</formula>
    </cfRule>
  </conditionalFormatting>
  <conditionalFormatting sqref="M25">
    <cfRule type="cellIs" dxfId="2267" priority="2159" stopIfTrue="1" operator="lessThan">
      <formula>0.8</formula>
    </cfRule>
  </conditionalFormatting>
  <conditionalFormatting sqref="M25">
    <cfRule type="cellIs" dxfId="2266" priority="2158" stopIfTrue="1" operator="greaterThan">
      <formula>1.2</formula>
    </cfRule>
  </conditionalFormatting>
  <conditionalFormatting sqref="M26">
    <cfRule type="cellIs" dxfId="2265" priority="2157" stopIfTrue="1" operator="between">
      <formula>0.8</formula>
      <formula>1.2</formula>
    </cfRule>
  </conditionalFormatting>
  <conditionalFormatting sqref="M26">
    <cfRule type="cellIs" dxfId="2264" priority="2156" stopIfTrue="1" operator="lessThan">
      <formula>0.8</formula>
    </cfRule>
  </conditionalFormatting>
  <conditionalFormatting sqref="M26">
    <cfRule type="cellIs" dxfId="2263" priority="2155" stopIfTrue="1" operator="greaterThan">
      <formula>1.2</formula>
    </cfRule>
  </conditionalFormatting>
  <conditionalFormatting sqref="M27">
    <cfRule type="cellIs" dxfId="2262" priority="2154" stopIfTrue="1" operator="between">
      <formula>0.8</formula>
      <formula>1.2</formula>
    </cfRule>
  </conditionalFormatting>
  <conditionalFormatting sqref="M27">
    <cfRule type="cellIs" dxfId="2261" priority="2153" stopIfTrue="1" operator="lessThan">
      <formula>0.8</formula>
    </cfRule>
  </conditionalFormatting>
  <conditionalFormatting sqref="M27">
    <cfRule type="cellIs" dxfId="2260" priority="2152" stopIfTrue="1" operator="greaterThan">
      <formula>1.2</formula>
    </cfRule>
  </conditionalFormatting>
  <conditionalFormatting sqref="M28">
    <cfRule type="cellIs" dxfId="2259" priority="2151" stopIfTrue="1" operator="between">
      <formula>0.8</formula>
      <formula>1.2</formula>
    </cfRule>
  </conditionalFormatting>
  <conditionalFormatting sqref="M28">
    <cfRule type="cellIs" dxfId="2258" priority="2150" stopIfTrue="1" operator="lessThan">
      <formula>0.8</formula>
    </cfRule>
  </conditionalFormatting>
  <conditionalFormatting sqref="M28">
    <cfRule type="cellIs" dxfId="2257" priority="2149" stopIfTrue="1" operator="greaterThan">
      <formula>1.2</formula>
    </cfRule>
  </conditionalFormatting>
  <conditionalFormatting sqref="M29">
    <cfRule type="cellIs" dxfId="2256" priority="2148" stopIfTrue="1" operator="between">
      <formula>0.8</formula>
      <formula>1.2</formula>
    </cfRule>
  </conditionalFormatting>
  <conditionalFormatting sqref="M29">
    <cfRule type="cellIs" dxfId="2255" priority="2147" stopIfTrue="1" operator="lessThan">
      <formula>0.8</formula>
    </cfRule>
  </conditionalFormatting>
  <conditionalFormatting sqref="M29">
    <cfRule type="cellIs" dxfId="2254" priority="2146" stopIfTrue="1" operator="greaterThan">
      <formula>1.2</formula>
    </cfRule>
  </conditionalFormatting>
  <conditionalFormatting sqref="M30">
    <cfRule type="cellIs" dxfId="2253" priority="2145" stopIfTrue="1" operator="between">
      <formula>0.8</formula>
      <formula>1.2</formula>
    </cfRule>
  </conditionalFormatting>
  <conditionalFormatting sqref="M30">
    <cfRule type="cellIs" dxfId="2252" priority="2144" stopIfTrue="1" operator="lessThan">
      <formula>0.8</formula>
    </cfRule>
  </conditionalFormatting>
  <conditionalFormatting sqref="M30">
    <cfRule type="cellIs" dxfId="2251" priority="2143" stopIfTrue="1" operator="greaterThan">
      <formula>1.2</formula>
    </cfRule>
  </conditionalFormatting>
  <conditionalFormatting sqref="M31">
    <cfRule type="cellIs" dxfId="2250" priority="2142" stopIfTrue="1" operator="between">
      <formula>0.8</formula>
      <formula>1.2</formula>
    </cfRule>
  </conditionalFormatting>
  <conditionalFormatting sqref="M31">
    <cfRule type="cellIs" dxfId="2249" priority="2141" stopIfTrue="1" operator="lessThan">
      <formula>0.8</formula>
    </cfRule>
  </conditionalFormatting>
  <conditionalFormatting sqref="M31">
    <cfRule type="cellIs" dxfId="2248" priority="2140" stopIfTrue="1" operator="greaterThan">
      <formula>1.2</formula>
    </cfRule>
  </conditionalFormatting>
  <conditionalFormatting sqref="M32">
    <cfRule type="cellIs" dxfId="2247" priority="2139" stopIfTrue="1" operator="between">
      <formula>0.8</formula>
      <formula>1.2</formula>
    </cfRule>
  </conditionalFormatting>
  <conditionalFormatting sqref="M32">
    <cfRule type="cellIs" dxfId="2246" priority="2138" stopIfTrue="1" operator="lessThan">
      <formula>0.8</formula>
    </cfRule>
  </conditionalFormatting>
  <conditionalFormatting sqref="M32">
    <cfRule type="cellIs" dxfId="2245" priority="2137" stopIfTrue="1" operator="greaterThan">
      <formula>1.2</formula>
    </cfRule>
  </conditionalFormatting>
  <conditionalFormatting sqref="M33">
    <cfRule type="cellIs" dxfId="2244" priority="2136" stopIfTrue="1" operator="between">
      <formula>0.8</formula>
      <formula>1.2</formula>
    </cfRule>
  </conditionalFormatting>
  <conditionalFormatting sqref="M33">
    <cfRule type="cellIs" dxfId="2243" priority="2135" stopIfTrue="1" operator="lessThan">
      <formula>0.8</formula>
    </cfRule>
  </conditionalFormatting>
  <conditionalFormatting sqref="M33">
    <cfRule type="cellIs" dxfId="2242" priority="2134" stopIfTrue="1" operator="greaterThan">
      <formula>1.2</formula>
    </cfRule>
  </conditionalFormatting>
  <conditionalFormatting sqref="M34">
    <cfRule type="cellIs" dxfId="2241" priority="2133" stopIfTrue="1" operator="between">
      <formula>0.8</formula>
      <formula>1.2</formula>
    </cfRule>
  </conditionalFormatting>
  <conditionalFormatting sqref="M34">
    <cfRule type="cellIs" dxfId="2240" priority="2132" stopIfTrue="1" operator="lessThan">
      <formula>0.8</formula>
    </cfRule>
  </conditionalFormatting>
  <conditionalFormatting sqref="M34">
    <cfRule type="cellIs" dxfId="2239" priority="2131" stopIfTrue="1" operator="greaterThan">
      <formula>1.2</formula>
    </cfRule>
  </conditionalFormatting>
  <conditionalFormatting sqref="M35">
    <cfRule type="cellIs" dxfId="2238" priority="2130" stopIfTrue="1" operator="between">
      <formula>0.8</formula>
      <formula>1.2</formula>
    </cfRule>
  </conditionalFormatting>
  <conditionalFormatting sqref="M35">
    <cfRule type="cellIs" dxfId="2237" priority="2129" stopIfTrue="1" operator="lessThan">
      <formula>0.8</formula>
    </cfRule>
  </conditionalFormatting>
  <conditionalFormatting sqref="M35">
    <cfRule type="cellIs" dxfId="2236" priority="2128" stopIfTrue="1" operator="greaterThan">
      <formula>1.2</formula>
    </cfRule>
  </conditionalFormatting>
  <conditionalFormatting sqref="M36">
    <cfRule type="cellIs" dxfId="2235" priority="2127" stopIfTrue="1" operator="between">
      <formula>0.8</formula>
      <formula>1.2</formula>
    </cfRule>
  </conditionalFormatting>
  <conditionalFormatting sqref="M36">
    <cfRule type="cellIs" dxfId="2234" priority="2126" stopIfTrue="1" operator="lessThan">
      <formula>0.8</formula>
    </cfRule>
  </conditionalFormatting>
  <conditionalFormatting sqref="M36">
    <cfRule type="cellIs" dxfId="2233" priority="2125" stopIfTrue="1" operator="greaterThan">
      <formula>1.2</formula>
    </cfRule>
  </conditionalFormatting>
  <conditionalFormatting sqref="M37">
    <cfRule type="cellIs" dxfId="2232" priority="2124" stopIfTrue="1" operator="between">
      <formula>0.8</formula>
      <formula>1.2</formula>
    </cfRule>
  </conditionalFormatting>
  <conditionalFormatting sqref="M37">
    <cfRule type="cellIs" dxfId="2231" priority="2123" stopIfTrue="1" operator="lessThan">
      <formula>0.8</formula>
    </cfRule>
  </conditionalFormatting>
  <conditionalFormatting sqref="M37">
    <cfRule type="cellIs" dxfId="2230" priority="2122" stopIfTrue="1" operator="greaterThan">
      <formula>1.2</formula>
    </cfRule>
  </conditionalFormatting>
  <conditionalFormatting sqref="M38">
    <cfRule type="cellIs" dxfId="2229" priority="2121" stopIfTrue="1" operator="between">
      <formula>0.8</formula>
      <formula>1.2</formula>
    </cfRule>
  </conditionalFormatting>
  <conditionalFormatting sqref="M38">
    <cfRule type="cellIs" dxfId="2228" priority="2120" stopIfTrue="1" operator="lessThan">
      <formula>0.8</formula>
    </cfRule>
  </conditionalFormatting>
  <conditionalFormatting sqref="M38">
    <cfRule type="cellIs" dxfId="2227" priority="2119" stopIfTrue="1" operator="greaterThan">
      <formula>1.2</formula>
    </cfRule>
  </conditionalFormatting>
  <conditionalFormatting sqref="M39">
    <cfRule type="cellIs" dxfId="2226" priority="2118" stopIfTrue="1" operator="between">
      <formula>0.8</formula>
      <formula>1.2</formula>
    </cfRule>
  </conditionalFormatting>
  <conditionalFormatting sqref="M39">
    <cfRule type="cellIs" dxfId="2225" priority="2117" stopIfTrue="1" operator="lessThan">
      <formula>0.8</formula>
    </cfRule>
  </conditionalFormatting>
  <conditionalFormatting sqref="M39">
    <cfRule type="cellIs" dxfId="2224" priority="2116" stopIfTrue="1" operator="greaterThan">
      <formula>1.2</formula>
    </cfRule>
  </conditionalFormatting>
  <conditionalFormatting sqref="M40">
    <cfRule type="cellIs" dxfId="2223" priority="2115" stopIfTrue="1" operator="between">
      <formula>0.8</formula>
      <formula>1.2</formula>
    </cfRule>
  </conditionalFormatting>
  <conditionalFormatting sqref="M40">
    <cfRule type="cellIs" dxfId="2222" priority="2114" stopIfTrue="1" operator="lessThan">
      <formula>0.8</formula>
    </cfRule>
  </conditionalFormatting>
  <conditionalFormatting sqref="M40">
    <cfRule type="cellIs" dxfId="2221" priority="2113" stopIfTrue="1" operator="greaterThan">
      <formula>1.2</formula>
    </cfRule>
  </conditionalFormatting>
  <conditionalFormatting sqref="M41">
    <cfRule type="cellIs" dxfId="2220" priority="2112" stopIfTrue="1" operator="between">
      <formula>0.8</formula>
      <formula>1.2</formula>
    </cfRule>
  </conditionalFormatting>
  <conditionalFormatting sqref="M41">
    <cfRule type="cellIs" dxfId="2219" priority="2111" stopIfTrue="1" operator="lessThan">
      <formula>0.8</formula>
    </cfRule>
  </conditionalFormatting>
  <conditionalFormatting sqref="M41">
    <cfRule type="cellIs" dxfId="2218" priority="2110" stopIfTrue="1" operator="greaterThan">
      <formula>1.2</formula>
    </cfRule>
  </conditionalFormatting>
  <conditionalFormatting sqref="M42">
    <cfRule type="cellIs" dxfId="2217" priority="2109" stopIfTrue="1" operator="between">
      <formula>0.8</formula>
      <formula>1.2</formula>
    </cfRule>
  </conditionalFormatting>
  <conditionalFormatting sqref="M42">
    <cfRule type="cellIs" dxfId="2216" priority="2108" stopIfTrue="1" operator="lessThan">
      <formula>0.8</formula>
    </cfRule>
  </conditionalFormatting>
  <conditionalFormatting sqref="M42">
    <cfRule type="cellIs" dxfId="2215" priority="2107" stopIfTrue="1" operator="greaterThan">
      <formula>1.2</formula>
    </cfRule>
  </conditionalFormatting>
  <conditionalFormatting sqref="M43">
    <cfRule type="cellIs" dxfId="2214" priority="2106" stopIfTrue="1" operator="between">
      <formula>0.8</formula>
      <formula>1.2</formula>
    </cfRule>
  </conditionalFormatting>
  <conditionalFormatting sqref="M43">
    <cfRule type="cellIs" dxfId="2213" priority="2105" stopIfTrue="1" operator="lessThan">
      <formula>0.8</formula>
    </cfRule>
  </conditionalFormatting>
  <conditionalFormatting sqref="M43">
    <cfRule type="cellIs" dxfId="2212" priority="2104" stopIfTrue="1" operator="greaterThan">
      <formula>1.2</formula>
    </cfRule>
  </conditionalFormatting>
  <conditionalFormatting sqref="M44">
    <cfRule type="cellIs" dxfId="2211" priority="2103" stopIfTrue="1" operator="between">
      <formula>0.8</formula>
      <formula>1.2</formula>
    </cfRule>
  </conditionalFormatting>
  <conditionalFormatting sqref="M44">
    <cfRule type="cellIs" dxfId="2210" priority="2102" stopIfTrue="1" operator="lessThan">
      <formula>0.8</formula>
    </cfRule>
  </conditionalFormatting>
  <conditionalFormatting sqref="M44">
    <cfRule type="cellIs" dxfId="2209" priority="2101" stopIfTrue="1" operator="greaterThan">
      <formula>1.2</formula>
    </cfRule>
  </conditionalFormatting>
  <conditionalFormatting sqref="N25">
    <cfRule type="cellIs" dxfId="2208" priority="2100" stopIfTrue="1" operator="between">
      <formula>0.8</formula>
      <formula>1.2</formula>
    </cfRule>
  </conditionalFormatting>
  <conditionalFormatting sqref="N25">
    <cfRule type="cellIs" dxfId="2207" priority="2099" stopIfTrue="1" operator="lessThan">
      <formula>0.8</formula>
    </cfRule>
  </conditionalFormatting>
  <conditionalFormatting sqref="N25">
    <cfRule type="cellIs" dxfId="2206" priority="2098" stopIfTrue="1" operator="greaterThan">
      <formula>1.2</formula>
    </cfRule>
  </conditionalFormatting>
  <conditionalFormatting sqref="N26">
    <cfRule type="cellIs" dxfId="2205" priority="2097" stopIfTrue="1" operator="between">
      <formula>0.8</formula>
      <formula>1.2</formula>
    </cfRule>
  </conditionalFormatting>
  <conditionalFormatting sqref="N26">
    <cfRule type="cellIs" dxfId="2204" priority="2096" stopIfTrue="1" operator="lessThan">
      <formula>0.8</formula>
    </cfRule>
  </conditionalFormatting>
  <conditionalFormatting sqref="N26">
    <cfRule type="cellIs" dxfId="2203" priority="2095" stopIfTrue="1" operator="greaterThan">
      <formula>1.2</formula>
    </cfRule>
  </conditionalFormatting>
  <conditionalFormatting sqref="N27">
    <cfRule type="cellIs" dxfId="2202" priority="2094" stopIfTrue="1" operator="between">
      <formula>0.8</formula>
      <formula>1.2</formula>
    </cfRule>
  </conditionalFormatting>
  <conditionalFormatting sqref="N27">
    <cfRule type="cellIs" dxfId="2201" priority="2093" stopIfTrue="1" operator="lessThan">
      <formula>0.8</formula>
    </cfRule>
  </conditionalFormatting>
  <conditionalFormatting sqref="N27">
    <cfRule type="cellIs" dxfId="2200" priority="2092" stopIfTrue="1" operator="greaterThan">
      <formula>1.2</formula>
    </cfRule>
  </conditionalFormatting>
  <conditionalFormatting sqref="N28">
    <cfRule type="cellIs" dxfId="2199" priority="2091" stopIfTrue="1" operator="between">
      <formula>0.8</formula>
      <formula>1.2</formula>
    </cfRule>
  </conditionalFormatting>
  <conditionalFormatting sqref="N28">
    <cfRule type="cellIs" dxfId="2198" priority="2090" stopIfTrue="1" operator="lessThan">
      <formula>0.8</formula>
    </cfRule>
  </conditionalFormatting>
  <conditionalFormatting sqref="N28">
    <cfRule type="cellIs" dxfId="2197" priority="2089" stopIfTrue="1" operator="greaterThan">
      <formula>1.2</formula>
    </cfRule>
  </conditionalFormatting>
  <conditionalFormatting sqref="N29">
    <cfRule type="cellIs" dxfId="2196" priority="2088" stopIfTrue="1" operator="between">
      <formula>0.8</formula>
      <formula>1.2</formula>
    </cfRule>
  </conditionalFormatting>
  <conditionalFormatting sqref="N29">
    <cfRule type="cellIs" dxfId="2195" priority="2087" stopIfTrue="1" operator="lessThan">
      <formula>0.8</formula>
    </cfRule>
  </conditionalFormatting>
  <conditionalFormatting sqref="N29">
    <cfRule type="cellIs" dxfId="2194" priority="2086" stopIfTrue="1" operator="greaterThan">
      <formula>1.2</formula>
    </cfRule>
  </conditionalFormatting>
  <conditionalFormatting sqref="N30">
    <cfRule type="cellIs" dxfId="2193" priority="2085" stopIfTrue="1" operator="between">
      <formula>0.8</formula>
      <formula>1.2</formula>
    </cfRule>
  </conditionalFormatting>
  <conditionalFormatting sqref="N30">
    <cfRule type="cellIs" dxfId="2192" priority="2084" stopIfTrue="1" operator="lessThan">
      <formula>0.8</formula>
    </cfRule>
  </conditionalFormatting>
  <conditionalFormatting sqref="N30">
    <cfRule type="cellIs" dxfId="2191" priority="2083" stopIfTrue="1" operator="greaterThan">
      <formula>1.2</formula>
    </cfRule>
  </conditionalFormatting>
  <conditionalFormatting sqref="N31">
    <cfRule type="cellIs" dxfId="2190" priority="2082" stopIfTrue="1" operator="between">
      <formula>0.8</formula>
      <formula>1.2</formula>
    </cfRule>
  </conditionalFormatting>
  <conditionalFormatting sqref="N31">
    <cfRule type="cellIs" dxfId="2189" priority="2081" stopIfTrue="1" operator="lessThan">
      <formula>0.8</formula>
    </cfRule>
  </conditionalFormatting>
  <conditionalFormatting sqref="N31">
    <cfRule type="cellIs" dxfId="2188" priority="2080" stopIfTrue="1" operator="greaterThan">
      <formula>1.2</formula>
    </cfRule>
  </conditionalFormatting>
  <conditionalFormatting sqref="N32">
    <cfRule type="cellIs" dxfId="2187" priority="2079" stopIfTrue="1" operator="between">
      <formula>0.8</formula>
      <formula>1.2</formula>
    </cfRule>
  </conditionalFormatting>
  <conditionalFormatting sqref="N32">
    <cfRule type="cellIs" dxfId="2186" priority="2078" stopIfTrue="1" operator="lessThan">
      <formula>0.8</formula>
    </cfRule>
  </conditionalFormatting>
  <conditionalFormatting sqref="N32">
    <cfRule type="cellIs" dxfId="2185" priority="2077" stopIfTrue="1" operator="greaterThan">
      <formula>1.2</formula>
    </cfRule>
  </conditionalFormatting>
  <conditionalFormatting sqref="N33">
    <cfRule type="cellIs" dxfId="2184" priority="2076" stopIfTrue="1" operator="between">
      <formula>0.8</formula>
      <formula>1.2</formula>
    </cfRule>
  </conditionalFormatting>
  <conditionalFormatting sqref="N33">
    <cfRule type="cellIs" dxfId="2183" priority="2075" stopIfTrue="1" operator="lessThan">
      <formula>0.8</formula>
    </cfRule>
  </conditionalFormatting>
  <conditionalFormatting sqref="N33">
    <cfRule type="cellIs" dxfId="2182" priority="2074" stopIfTrue="1" operator="greaterThan">
      <formula>1.2</formula>
    </cfRule>
  </conditionalFormatting>
  <conditionalFormatting sqref="N34">
    <cfRule type="cellIs" dxfId="2181" priority="2073" stopIfTrue="1" operator="between">
      <formula>0.8</formula>
      <formula>1.2</formula>
    </cfRule>
  </conditionalFormatting>
  <conditionalFormatting sqref="N34">
    <cfRule type="cellIs" dxfId="2180" priority="2072" stopIfTrue="1" operator="lessThan">
      <formula>0.8</formula>
    </cfRule>
  </conditionalFormatting>
  <conditionalFormatting sqref="N34">
    <cfRule type="cellIs" dxfId="2179" priority="2071" stopIfTrue="1" operator="greaterThan">
      <formula>1.2</formula>
    </cfRule>
  </conditionalFormatting>
  <conditionalFormatting sqref="N35">
    <cfRule type="cellIs" dxfId="2178" priority="2070" stopIfTrue="1" operator="between">
      <formula>0.8</formula>
      <formula>1.2</formula>
    </cfRule>
  </conditionalFormatting>
  <conditionalFormatting sqref="N35">
    <cfRule type="cellIs" dxfId="2177" priority="2069" stopIfTrue="1" operator="lessThan">
      <formula>0.8</formula>
    </cfRule>
  </conditionalFormatting>
  <conditionalFormatting sqref="N35">
    <cfRule type="cellIs" dxfId="2176" priority="2068" stopIfTrue="1" operator="greaterThan">
      <formula>1.2</formula>
    </cfRule>
  </conditionalFormatting>
  <conditionalFormatting sqref="N36">
    <cfRule type="cellIs" dxfId="2175" priority="2067" stopIfTrue="1" operator="between">
      <formula>0.8</formula>
      <formula>1.2</formula>
    </cfRule>
  </conditionalFormatting>
  <conditionalFormatting sqref="N36">
    <cfRule type="cellIs" dxfId="2174" priority="2066" stopIfTrue="1" operator="lessThan">
      <formula>0.8</formula>
    </cfRule>
  </conditionalFormatting>
  <conditionalFormatting sqref="N36">
    <cfRule type="cellIs" dxfId="2173" priority="2065" stopIfTrue="1" operator="greaterThan">
      <formula>1.2</formula>
    </cfRule>
  </conditionalFormatting>
  <conditionalFormatting sqref="N37">
    <cfRule type="cellIs" dxfId="2172" priority="2064" stopIfTrue="1" operator="between">
      <formula>0.8</formula>
      <formula>1.2</formula>
    </cfRule>
  </conditionalFormatting>
  <conditionalFormatting sqref="N37">
    <cfRule type="cellIs" dxfId="2171" priority="2063" stopIfTrue="1" operator="lessThan">
      <formula>0.8</formula>
    </cfRule>
  </conditionalFormatting>
  <conditionalFormatting sqref="N37">
    <cfRule type="cellIs" dxfId="2170" priority="2062" stopIfTrue="1" operator="greaterThan">
      <formula>1.2</formula>
    </cfRule>
  </conditionalFormatting>
  <conditionalFormatting sqref="N38">
    <cfRule type="cellIs" dxfId="2169" priority="2061" stopIfTrue="1" operator="between">
      <formula>0.8</formula>
      <formula>1.2</formula>
    </cfRule>
  </conditionalFormatting>
  <conditionalFormatting sqref="N38">
    <cfRule type="cellIs" dxfId="2168" priority="2060" stopIfTrue="1" operator="lessThan">
      <formula>0.8</formula>
    </cfRule>
  </conditionalFormatting>
  <conditionalFormatting sqref="N38">
    <cfRule type="cellIs" dxfId="2167" priority="2059" stopIfTrue="1" operator="greaterThan">
      <formula>1.2</formula>
    </cfRule>
  </conditionalFormatting>
  <conditionalFormatting sqref="N39">
    <cfRule type="cellIs" dxfId="2166" priority="2058" stopIfTrue="1" operator="between">
      <formula>0.8</formula>
      <formula>1.2</formula>
    </cfRule>
  </conditionalFormatting>
  <conditionalFormatting sqref="N39">
    <cfRule type="cellIs" dxfId="2165" priority="2057" stopIfTrue="1" operator="lessThan">
      <formula>0.8</formula>
    </cfRule>
  </conditionalFormatting>
  <conditionalFormatting sqref="N39">
    <cfRule type="cellIs" dxfId="2164" priority="2056" stopIfTrue="1" operator="greaterThan">
      <formula>1.2</formula>
    </cfRule>
  </conditionalFormatting>
  <conditionalFormatting sqref="N40">
    <cfRule type="cellIs" dxfId="2163" priority="2055" stopIfTrue="1" operator="between">
      <formula>0.8</formula>
      <formula>1.2</formula>
    </cfRule>
  </conditionalFormatting>
  <conditionalFormatting sqref="N40">
    <cfRule type="cellIs" dxfId="2162" priority="2054" stopIfTrue="1" operator="lessThan">
      <formula>0.8</formula>
    </cfRule>
  </conditionalFormatting>
  <conditionalFormatting sqref="N40">
    <cfRule type="cellIs" dxfId="2161" priority="2053" stopIfTrue="1" operator="greaterThan">
      <formula>1.2</formula>
    </cfRule>
  </conditionalFormatting>
  <conditionalFormatting sqref="N41">
    <cfRule type="cellIs" dxfId="2160" priority="2052" stopIfTrue="1" operator="between">
      <formula>0.8</formula>
      <formula>1.2</formula>
    </cfRule>
  </conditionalFormatting>
  <conditionalFormatting sqref="N41">
    <cfRule type="cellIs" dxfId="2159" priority="2051" stopIfTrue="1" operator="lessThan">
      <formula>0.8</formula>
    </cfRule>
  </conditionalFormatting>
  <conditionalFormatting sqref="N41">
    <cfRule type="cellIs" dxfId="2158" priority="2050" stopIfTrue="1" operator="greaterThan">
      <formula>1.2</formula>
    </cfRule>
  </conditionalFormatting>
  <conditionalFormatting sqref="N42">
    <cfRule type="cellIs" dxfId="2157" priority="2049" stopIfTrue="1" operator="between">
      <formula>0.8</formula>
      <formula>1.2</formula>
    </cfRule>
  </conditionalFormatting>
  <conditionalFormatting sqref="N42">
    <cfRule type="cellIs" dxfId="2156" priority="2048" stopIfTrue="1" operator="lessThan">
      <formula>0.8</formula>
    </cfRule>
  </conditionalFormatting>
  <conditionalFormatting sqref="N42">
    <cfRule type="cellIs" dxfId="2155" priority="2047" stopIfTrue="1" operator="greaterThan">
      <formula>1.2</formula>
    </cfRule>
  </conditionalFormatting>
  <conditionalFormatting sqref="N43">
    <cfRule type="cellIs" dxfId="2154" priority="2046" stopIfTrue="1" operator="between">
      <formula>0.8</formula>
      <formula>1.2</formula>
    </cfRule>
  </conditionalFormatting>
  <conditionalFormatting sqref="N43">
    <cfRule type="cellIs" dxfId="2153" priority="2045" stopIfTrue="1" operator="lessThan">
      <formula>0.8</formula>
    </cfRule>
  </conditionalFormatting>
  <conditionalFormatting sqref="N43">
    <cfRule type="cellIs" dxfId="2152" priority="2044" stopIfTrue="1" operator="greaterThan">
      <formula>1.2</formula>
    </cfRule>
  </conditionalFormatting>
  <conditionalFormatting sqref="N44">
    <cfRule type="cellIs" dxfId="2151" priority="2043" stopIfTrue="1" operator="between">
      <formula>0.8</formula>
      <formula>1.2</formula>
    </cfRule>
  </conditionalFormatting>
  <conditionalFormatting sqref="N44">
    <cfRule type="cellIs" dxfId="2150" priority="2042" stopIfTrue="1" operator="lessThan">
      <formula>0.8</formula>
    </cfRule>
  </conditionalFormatting>
  <conditionalFormatting sqref="N44">
    <cfRule type="cellIs" dxfId="2149" priority="2041" stopIfTrue="1" operator="greaterThan">
      <formula>1.2</formula>
    </cfRule>
  </conditionalFormatting>
  <conditionalFormatting sqref="O25">
    <cfRule type="cellIs" dxfId="2148" priority="2040" stopIfTrue="1" operator="between">
      <formula>0.8</formula>
      <formula>1.2</formula>
    </cfRule>
  </conditionalFormatting>
  <conditionalFormatting sqref="O25">
    <cfRule type="cellIs" dxfId="2147" priority="2039" stopIfTrue="1" operator="lessThan">
      <formula>0.8</formula>
    </cfRule>
  </conditionalFormatting>
  <conditionalFormatting sqref="O25">
    <cfRule type="cellIs" dxfId="2146" priority="2038" stopIfTrue="1" operator="greaterThan">
      <formula>1.2</formula>
    </cfRule>
  </conditionalFormatting>
  <conditionalFormatting sqref="O26">
    <cfRule type="cellIs" dxfId="2145" priority="2037" stopIfTrue="1" operator="between">
      <formula>0.8</formula>
      <formula>1.2</formula>
    </cfRule>
  </conditionalFormatting>
  <conditionalFormatting sqref="O26">
    <cfRule type="cellIs" dxfId="2144" priority="2036" stopIfTrue="1" operator="lessThan">
      <formula>0.8</formula>
    </cfRule>
  </conditionalFormatting>
  <conditionalFormatting sqref="O26">
    <cfRule type="cellIs" dxfId="2143" priority="2035" stopIfTrue="1" operator="greaterThan">
      <formula>1.2</formula>
    </cfRule>
  </conditionalFormatting>
  <conditionalFormatting sqref="O27">
    <cfRule type="cellIs" dxfId="2142" priority="2034" stopIfTrue="1" operator="between">
      <formula>0.8</formula>
      <formula>1.2</formula>
    </cfRule>
  </conditionalFormatting>
  <conditionalFormatting sqref="O27">
    <cfRule type="cellIs" dxfId="2141" priority="2033" stopIfTrue="1" operator="lessThan">
      <formula>0.8</formula>
    </cfRule>
  </conditionalFormatting>
  <conditionalFormatting sqref="O27">
    <cfRule type="cellIs" dxfId="2140" priority="2032" stopIfTrue="1" operator="greaterThan">
      <formula>1.2</formula>
    </cfRule>
  </conditionalFormatting>
  <conditionalFormatting sqref="O28">
    <cfRule type="cellIs" dxfId="2139" priority="2031" stopIfTrue="1" operator="between">
      <formula>0.8</formula>
      <formula>1.2</formula>
    </cfRule>
  </conditionalFormatting>
  <conditionalFormatting sqref="O28">
    <cfRule type="cellIs" dxfId="2138" priority="2030" stopIfTrue="1" operator="lessThan">
      <formula>0.8</formula>
    </cfRule>
  </conditionalFormatting>
  <conditionalFormatting sqref="O28">
    <cfRule type="cellIs" dxfId="2137" priority="2029" stopIfTrue="1" operator="greaterThan">
      <formula>1.2</formula>
    </cfRule>
  </conditionalFormatting>
  <conditionalFormatting sqref="O29">
    <cfRule type="cellIs" dxfId="2136" priority="2028" stopIfTrue="1" operator="between">
      <formula>0.8</formula>
      <formula>1.2</formula>
    </cfRule>
  </conditionalFormatting>
  <conditionalFormatting sqref="O29">
    <cfRule type="cellIs" dxfId="2135" priority="2027" stopIfTrue="1" operator="lessThan">
      <formula>0.8</formula>
    </cfRule>
  </conditionalFormatting>
  <conditionalFormatting sqref="O29">
    <cfRule type="cellIs" dxfId="2134" priority="2026" stopIfTrue="1" operator="greaterThan">
      <formula>1.2</formula>
    </cfRule>
  </conditionalFormatting>
  <conditionalFormatting sqref="O30">
    <cfRule type="cellIs" dxfId="2133" priority="2025" stopIfTrue="1" operator="between">
      <formula>0.8</formula>
      <formula>1.2</formula>
    </cfRule>
  </conditionalFormatting>
  <conditionalFormatting sqref="O30">
    <cfRule type="cellIs" dxfId="2132" priority="2024" stopIfTrue="1" operator="lessThan">
      <formula>0.8</formula>
    </cfRule>
  </conditionalFormatting>
  <conditionalFormatting sqref="O30">
    <cfRule type="cellIs" dxfId="2131" priority="2023" stopIfTrue="1" operator="greaterThan">
      <formula>1.2</formula>
    </cfRule>
  </conditionalFormatting>
  <conditionalFormatting sqref="O31">
    <cfRule type="cellIs" dxfId="2130" priority="2022" stopIfTrue="1" operator="between">
      <formula>0.8</formula>
      <formula>1.2</formula>
    </cfRule>
  </conditionalFormatting>
  <conditionalFormatting sqref="O31">
    <cfRule type="cellIs" dxfId="2129" priority="2021" stopIfTrue="1" operator="lessThan">
      <formula>0.8</formula>
    </cfRule>
  </conditionalFormatting>
  <conditionalFormatting sqref="O31">
    <cfRule type="cellIs" dxfId="2128" priority="2020" stopIfTrue="1" operator="greaterThan">
      <formula>1.2</formula>
    </cfRule>
  </conditionalFormatting>
  <conditionalFormatting sqref="O32">
    <cfRule type="cellIs" dxfId="2127" priority="2019" stopIfTrue="1" operator="between">
      <formula>0.8</formula>
      <formula>1.2</formula>
    </cfRule>
  </conditionalFormatting>
  <conditionalFormatting sqref="O32">
    <cfRule type="cellIs" dxfId="2126" priority="2018" stopIfTrue="1" operator="lessThan">
      <formula>0.8</formula>
    </cfRule>
  </conditionalFormatting>
  <conditionalFormatting sqref="O32">
    <cfRule type="cellIs" dxfId="2125" priority="2017" stopIfTrue="1" operator="greaterThan">
      <formula>1.2</formula>
    </cfRule>
  </conditionalFormatting>
  <conditionalFormatting sqref="O33">
    <cfRule type="cellIs" dxfId="2124" priority="2016" stopIfTrue="1" operator="between">
      <formula>0.8</formula>
      <formula>1.2</formula>
    </cfRule>
  </conditionalFormatting>
  <conditionalFormatting sqref="O33">
    <cfRule type="cellIs" dxfId="2123" priority="2015" stopIfTrue="1" operator="lessThan">
      <formula>0.8</formula>
    </cfRule>
  </conditionalFormatting>
  <conditionalFormatting sqref="O33">
    <cfRule type="cellIs" dxfId="2122" priority="2014" stopIfTrue="1" operator="greaterThan">
      <formula>1.2</formula>
    </cfRule>
  </conditionalFormatting>
  <conditionalFormatting sqref="O34">
    <cfRule type="cellIs" dxfId="2121" priority="2013" stopIfTrue="1" operator="between">
      <formula>0.8</formula>
      <formula>1.2</formula>
    </cfRule>
  </conditionalFormatting>
  <conditionalFormatting sqref="O34">
    <cfRule type="cellIs" dxfId="2120" priority="2012" stopIfTrue="1" operator="lessThan">
      <formula>0.8</formula>
    </cfRule>
  </conditionalFormatting>
  <conditionalFormatting sqref="O34">
    <cfRule type="cellIs" dxfId="2119" priority="2011" stopIfTrue="1" operator="greaterThan">
      <formula>1.2</formula>
    </cfRule>
  </conditionalFormatting>
  <conditionalFormatting sqref="O35">
    <cfRule type="cellIs" dxfId="2118" priority="2010" stopIfTrue="1" operator="between">
      <formula>0.8</formula>
      <formula>1.2</formula>
    </cfRule>
  </conditionalFormatting>
  <conditionalFormatting sqref="O35">
    <cfRule type="cellIs" dxfId="2117" priority="2009" stopIfTrue="1" operator="lessThan">
      <formula>0.8</formula>
    </cfRule>
  </conditionalFormatting>
  <conditionalFormatting sqref="O35">
    <cfRule type="cellIs" dxfId="2116" priority="2008" stopIfTrue="1" operator="greaterThan">
      <formula>1.2</formula>
    </cfRule>
  </conditionalFormatting>
  <conditionalFormatting sqref="O36">
    <cfRule type="cellIs" dxfId="2115" priority="2007" stopIfTrue="1" operator="between">
      <formula>0.8</formula>
      <formula>1.2</formula>
    </cfRule>
  </conditionalFormatting>
  <conditionalFormatting sqref="O36">
    <cfRule type="cellIs" dxfId="2114" priority="2006" stopIfTrue="1" operator="lessThan">
      <formula>0.8</formula>
    </cfRule>
  </conditionalFormatting>
  <conditionalFormatting sqref="O36">
    <cfRule type="cellIs" dxfId="2113" priority="2005" stopIfTrue="1" operator="greaterThan">
      <formula>1.2</formula>
    </cfRule>
  </conditionalFormatting>
  <conditionalFormatting sqref="O37">
    <cfRule type="cellIs" dxfId="2112" priority="2004" stopIfTrue="1" operator="between">
      <formula>0.8</formula>
      <formula>1.2</formula>
    </cfRule>
  </conditionalFormatting>
  <conditionalFormatting sqref="O37">
    <cfRule type="cellIs" dxfId="2111" priority="2003" stopIfTrue="1" operator="lessThan">
      <formula>0.8</formula>
    </cfRule>
  </conditionalFormatting>
  <conditionalFormatting sqref="O37">
    <cfRule type="cellIs" dxfId="2110" priority="2002" stopIfTrue="1" operator="greaterThan">
      <formula>1.2</formula>
    </cfRule>
  </conditionalFormatting>
  <conditionalFormatting sqref="O38">
    <cfRule type="cellIs" dxfId="2109" priority="2001" stopIfTrue="1" operator="between">
      <formula>0.8</formula>
      <formula>1.2</formula>
    </cfRule>
  </conditionalFormatting>
  <conditionalFormatting sqref="O38">
    <cfRule type="cellIs" dxfId="2108" priority="2000" stopIfTrue="1" operator="lessThan">
      <formula>0.8</formula>
    </cfRule>
  </conditionalFormatting>
  <conditionalFormatting sqref="O38">
    <cfRule type="cellIs" dxfId="2107" priority="1999" stopIfTrue="1" operator="greaterThan">
      <formula>1.2</formula>
    </cfRule>
  </conditionalFormatting>
  <conditionalFormatting sqref="O39">
    <cfRule type="cellIs" dxfId="2106" priority="1998" stopIfTrue="1" operator="between">
      <formula>0.8</formula>
      <formula>1.2</formula>
    </cfRule>
  </conditionalFormatting>
  <conditionalFormatting sqref="O39">
    <cfRule type="cellIs" dxfId="2105" priority="1997" stopIfTrue="1" operator="lessThan">
      <formula>0.8</formula>
    </cfRule>
  </conditionalFormatting>
  <conditionalFormatting sqref="O39">
    <cfRule type="cellIs" dxfId="2104" priority="1996" stopIfTrue="1" operator="greaterThan">
      <formula>1.2</formula>
    </cfRule>
  </conditionalFormatting>
  <conditionalFormatting sqref="O40">
    <cfRule type="cellIs" dxfId="2103" priority="1995" stopIfTrue="1" operator="between">
      <formula>0.8</formula>
      <formula>1.2</formula>
    </cfRule>
  </conditionalFormatting>
  <conditionalFormatting sqref="O40">
    <cfRule type="cellIs" dxfId="2102" priority="1994" stopIfTrue="1" operator="lessThan">
      <formula>0.8</formula>
    </cfRule>
  </conditionalFormatting>
  <conditionalFormatting sqref="O40">
    <cfRule type="cellIs" dxfId="2101" priority="1993" stopIfTrue="1" operator="greaterThan">
      <formula>1.2</formula>
    </cfRule>
  </conditionalFormatting>
  <conditionalFormatting sqref="O41">
    <cfRule type="cellIs" dxfId="2100" priority="1992" stopIfTrue="1" operator="between">
      <formula>0.8</formula>
      <formula>1.2</formula>
    </cfRule>
  </conditionalFormatting>
  <conditionalFormatting sqref="O41">
    <cfRule type="cellIs" dxfId="2099" priority="1991" stopIfTrue="1" operator="lessThan">
      <formula>0.8</formula>
    </cfRule>
  </conditionalFormatting>
  <conditionalFormatting sqref="O41">
    <cfRule type="cellIs" dxfId="2098" priority="1990" stopIfTrue="1" operator="greaterThan">
      <formula>1.2</formula>
    </cfRule>
  </conditionalFormatting>
  <conditionalFormatting sqref="O42">
    <cfRule type="cellIs" dxfId="2097" priority="1989" stopIfTrue="1" operator="between">
      <formula>0.8</formula>
      <formula>1.2</formula>
    </cfRule>
  </conditionalFormatting>
  <conditionalFormatting sqref="O42">
    <cfRule type="cellIs" dxfId="2096" priority="1988" stopIfTrue="1" operator="lessThan">
      <formula>0.8</formula>
    </cfRule>
  </conditionalFormatting>
  <conditionalFormatting sqref="O42">
    <cfRule type="cellIs" dxfId="2095" priority="1987" stopIfTrue="1" operator="greaterThan">
      <formula>1.2</formula>
    </cfRule>
  </conditionalFormatting>
  <conditionalFormatting sqref="O43">
    <cfRule type="cellIs" dxfId="2094" priority="1986" stopIfTrue="1" operator="between">
      <formula>0.8</formula>
      <formula>1.2</formula>
    </cfRule>
  </conditionalFormatting>
  <conditionalFormatting sqref="O43">
    <cfRule type="cellIs" dxfId="2093" priority="1985" stopIfTrue="1" operator="lessThan">
      <formula>0.8</formula>
    </cfRule>
  </conditionalFormatting>
  <conditionalFormatting sqref="O43">
    <cfRule type="cellIs" dxfId="2092" priority="1984" stopIfTrue="1" operator="greaterThan">
      <formula>1.2</formula>
    </cfRule>
  </conditionalFormatting>
  <conditionalFormatting sqref="O44">
    <cfRule type="cellIs" dxfId="2091" priority="1983" stopIfTrue="1" operator="between">
      <formula>0.8</formula>
      <formula>1.2</formula>
    </cfRule>
  </conditionalFormatting>
  <conditionalFormatting sqref="O44">
    <cfRule type="cellIs" dxfId="2090" priority="1982" stopIfTrue="1" operator="lessThan">
      <formula>0.8</formula>
    </cfRule>
  </conditionalFormatting>
  <conditionalFormatting sqref="O44">
    <cfRule type="cellIs" dxfId="2089" priority="1981" stopIfTrue="1" operator="greaterThan">
      <formula>1.2</formula>
    </cfRule>
  </conditionalFormatting>
  <conditionalFormatting sqref="P25">
    <cfRule type="cellIs" dxfId="2088" priority="1980" stopIfTrue="1" operator="between">
      <formula>0.8</formula>
      <formula>1.2</formula>
    </cfRule>
  </conditionalFormatting>
  <conditionalFormatting sqref="P25">
    <cfRule type="cellIs" dxfId="2087" priority="1979" stopIfTrue="1" operator="lessThan">
      <formula>0.8</formula>
    </cfRule>
  </conditionalFormatting>
  <conditionalFormatting sqref="P25">
    <cfRule type="cellIs" dxfId="2086" priority="1978" stopIfTrue="1" operator="greaterThan">
      <formula>1.2</formula>
    </cfRule>
  </conditionalFormatting>
  <conditionalFormatting sqref="P26">
    <cfRule type="cellIs" dxfId="2085" priority="1977" stopIfTrue="1" operator="between">
      <formula>0.8</formula>
      <formula>1.2</formula>
    </cfRule>
  </conditionalFormatting>
  <conditionalFormatting sqref="P26">
    <cfRule type="cellIs" dxfId="2084" priority="1976" stopIfTrue="1" operator="lessThan">
      <formula>0.8</formula>
    </cfRule>
  </conditionalFormatting>
  <conditionalFormatting sqref="P26">
    <cfRule type="cellIs" dxfId="2083" priority="1975" stopIfTrue="1" operator="greaterThan">
      <formula>1.2</formula>
    </cfRule>
  </conditionalFormatting>
  <conditionalFormatting sqref="P27">
    <cfRule type="cellIs" dxfId="2082" priority="1974" stopIfTrue="1" operator="between">
      <formula>0.8</formula>
      <formula>1.2</formula>
    </cfRule>
  </conditionalFormatting>
  <conditionalFormatting sqref="P27">
    <cfRule type="cellIs" dxfId="2081" priority="1973" stopIfTrue="1" operator="lessThan">
      <formula>0.8</formula>
    </cfRule>
  </conditionalFormatting>
  <conditionalFormatting sqref="P27">
    <cfRule type="cellIs" dxfId="2080" priority="1972" stopIfTrue="1" operator="greaterThan">
      <formula>1.2</formula>
    </cfRule>
  </conditionalFormatting>
  <conditionalFormatting sqref="P28">
    <cfRule type="cellIs" dxfId="2079" priority="1971" stopIfTrue="1" operator="between">
      <formula>0.8</formula>
      <formula>1.2</formula>
    </cfRule>
  </conditionalFormatting>
  <conditionalFormatting sqref="P28">
    <cfRule type="cellIs" dxfId="2078" priority="1970" stopIfTrue="1" operator="lessThan">
      <formula>0.8</formula>
    </cfRule>
  </conditionalFormatting>
  <conditionalFormatting sqref="P28">
    <cfRule type="cellIs" dxfId="2077" priority="1969" stopIfTrue="1" operator="greaterThan">
      <formula>1.2</formula>
    </cfRule>
  </conditionalFormatting>
  <conditionalFormatting sqref="P29">
    <cfRule type="cellIs" dxfId="2076" priority="1968" stopIfTrue="1" operator="between">
      <formula>0.8</formula>
      <formula>1.2</formula>
    </cfRule>
  </conditionalFormatting>
  <conditionalFormatting sqref="P29">
    <cfRule type="cellIs" dxfId="2075" priority="1967" stopIfTrue="1" operator="lessThan">
      <formula>0.8</formula>
    </cfRule>
  </conditionalFormatting>
  <conditionalFormatting sqref="P29">
    <cfRule type="cellIs" dxfId="2074" priority="1966" stopIfTrue="1" operator="greaterThan">
      <formula>1.2</formula>
    </cfRule>
  </conditionalFormatting>
  <conditionalFormatting sqref="P30">
    <cfRule type="cellIs" dxfId="2073" priority="1965" stopIfTrue="1" operator="between">
      <formula>0.8</formula>
      <formula>1.2</formula>
    </cfRule>
  </conditionalFormatting>
  <conditionalFormatting sqref="P30">
    <cfRule type="cellIs" dxfId="2072" priority="1964" stopIfTrue="1" operator="lessThan">
      <formula>0.8</formula>
    </cfRule>
  </conditionalFormatting>
  <conditionalFormatting sqref="P30">
    <cfRule type="cellIs" dxfId="2071" priority="1963" stopIfTrue="1" operator="greaterThan">
      <formula>1.2</formula>
    </cfRule>
  </conditionalFormatting>
  <conditionalFormatting sqref="P31">
    <cfRule type="cellIs" dxfId="2070" priority="1962" stopIfTrue="1" operator="between">
      <formula>0.8</formula>
      <formula>1.2</formula>
    </cfRule>
  </conditionalFormatting>
  <conditionalFormatting sqref="P31">
    <cfRule type="cellIs" dxfId="2069" priority="1961" stopIfTrue="1" operator="lessThan">
      <formula>0.8</formula>
    </cfRule>
  </conditionalFormatting>
  <conditionalFormatting sqref="P31">
    <cfRule type="cellIs" dxfId="2068" priority="1960" stopIfTrue="1" operator="greaterThan">
      <formula>1.2</formula>
    </cfRule>
  </conditionalFormatting>
  <conditionalFormatting sqref="P32">
    <cfRule type="cellIs" dxfId="2067" priority="1959" stopIfTrue="1" operator="between">
      <formula>0.8</formula>
      <formula>1.2</formula>
    </cfRule>
  </conditionalFormatting>
  <conditionalFormatting sqref="P32">
    <cfRule type="cellIs" dxfId="2066" priority="1958" stopIfTrue="1" operator="lessThan">
      <formula>0.8</formula>
    </cfRule>
  </conditionalFormatting>
  <conditionalFormatting sqref="P32">
    <cfRule type="cellIs" dxfId="2065" priority="1957" stopIfTrue="1" operator="greaterThan">
      <formula>1.2</formula>
    </cfRule>
  </conditionalFormatting>
  <conditionalFormatting sqref="P33">
    <cfRule type="cellIs" dxfId="2064" priority="1956" stopIfTrue="1" operator="between">
      <formula>0.8</formula>
      <formula>1.2</formula>
    </cfRule>
  </conditionalFormatting>
  <conditionalFormatting sqref="P33">
    <cfRule type="cellIs" dxfId="2063" priority="1955" stopIfTrue="1" operator="lessThan">
      <formula>0.8</formula>
    </cfRule>
  </conditionalFormatting>
  <conditionalFormatting sqref="P33">
    <cfRule type="cellIs" dxfId="2062" priority="1954" stopIfTrue="1" operator="greaterThan">
      <formula>1.2</formula>
    </cfRule>
  </conditionalFormatting>
  <conditionalFormatting sqref="P34">
    <cfRule type="cellIs" dxfId="2061" priority="1953" stopIfTrue="1" operator="between">
      <formula>0.8</formula>
      <formula>1.2</formula>
    </cfRule>
  </conditionalFormatting>
  <conditionalFormatting sqref="P34">
    <cfRule type="cellIs" dxfId="2060" priority="1952" stopIfTrue="1" operator="lessThan">
      <formula>0.8</formula>
    </cfRule>
  </conditionalFormatting>
  <conditionalFormatting sqref="P34">
    <cfRule type="cellIs" dxfId="2059" priority="1951" stopIfTrue="1" operator="greaterThan">
      <formula>1.2</formula>
    </cfRule>
  </conditionalFormatting>
  <conditionalFormatting sqref="P35">
    <cfRule type="cellIs" dxfId="2058" priority="1950" stopIfTrue="1" operator="between">
      <formula>0.8</formula>
      <formula>1.2</formula>
    </cfRule>
  </conditionalFormatting>
  <conditionalFormatting sqref="P35">
    <cfRule type="cellIs" dxfId="2057" priority="1949" stopIfTrue="1" operator="lessThan">
      <formula>0.8</formula>
    </cfRule>
  </conditionalFormatting>
  <conditionalFormatting sqref="P35">
    <cfRule type="cellIs" dxfId="2056" priority="1948" stopIfTrue="1" operator="greaterThan">
      <formula>1.2</formula>
    </cfRule>
  </conditionalFormatting>
  <conditionalFormatting sqref="P36">
    <cfRule type="cellIs" dxfId="2055" priority="1947" stopIfTrue="1" operator="between">
      <formula>0.8</formula>
      <formula>1.2</formula>
    </cfRule>
  </conditionalFormatting>
  <conditionalFormatting sqref="P36">
    <cfRule type="cellIs" dxfId="2054" priority="1946" stopIfTrue="1" operator="lessThan">
      <formula>0.8</formula>
    </cfRule>
  </conditionalFormatting>
  <conditionalFormatting sqref="P36">
    <cfRule type="cellIs" dxfId="2053" priority="1945" stopIfTrue="1" operator="greaterThan">
      <formula>1.2</formula>
    </cfRule>
  </conditionalFormatting>
  <conditionalFormatting sqref="P37">
    <cfRule type="cellIs" dxfId="2052" priority="1944" stopIfTrue="1" operator="between">
      <formula>0.8</formula>
      <formula>1.2</formula>
    </cfRule>
  </conditionalFormatting>
  <conditionalFormatting sqref="P37">
    <cfRule type="cellIs" dxfId="2051" priority="1943" stopIfTrue="1" operator="lessThan">
      <formula>0.8</formula>
    </cfRule>
  </conditionalFormatting>
  <conditionalFormatting sqref="P37">
    <cfRule type="cellIs" dxfId="2050" priority="1942" stopIfTrue="1" operator="greaterThan">
      <formula>1.2</formula>
    </cfRule>
  </conditionalFormatting>
  <conditionalFormatting sqref="P38">
    <cfRule type="cellIs" dxfId="2049" priority="1941" stopIfTrue="1" operator="between">
      <formula>0.8</formula>
      <formula>1.2</formula>
    </cfRule>
  </conditionalFormatting>
  <conditionalFormatting sqref="P38">
    <cfRule type="cellIs" dxfId="2048" priority="1940" stopIfTrue="1" operator="lessThan">
      <formula>0.8</formula>
    </cfRule>
  </conditionalFormatting>
  <conditionalFormatting sqref="P38">
    <cfRule type="cellIs" dxfId="2047" priority="1939" stopIfTrue="1" operator="greaterThan">
      <formula>1.2</formula>
    </cfRule>
  </conditionalFormatting>
  <conditionalFormatting sqref="P39">
    <cfRule type="cellIs" dxfId="2046" priority="1938" stopIfTrue="1" operator="between">
      <formula>0.8</formula>
      <formula>1.2</formula>
    </cfRule>
  </conditionalFormatting>
  <conditionalFormatting sqref="P39">
    <cfRule type="cellIs" dxfId="2045" priority="1937" stopIfTrue="1" operator="lessThan">
      <formula>0.8</formula>
    </cfRule>
  </conditionalFormatting>
  <conditionalFormatting sqref="P39">
    <cfRule type="cellIs" dxfId="2044" priority="1936" stopIfTrue="1" operator="greaterThan">
      <formula>1.2</formula>
    </cfRule>
  </conditionalFormatting>
  <conditionalFormatting sqref="P40">
    <cfRule type="cellIs" dxfId="2043" priority="1935" stopIfTrue="1" operator="between">
      <formula>0.8</formula>
      <formula>1.2</formula>
    </cfRule>
  </conditionalFormatting>
  <conditionalFormatting sqref="P40">
    <cfRule type="cellIs" dxfId="2042" priority="1934" stopIfTrue="1" operator="lessThan">
      <formula>0.8</formula>
    </cfRule>
  </conditionalFormatting>
  <conditionalFormatting sqref="P40">
    <cfRule type="cellIs" dxfId="2041" priority="1933" stopIfTrue="1" operator="greaterThan">
      <formula>1.2</formula>
    </cfRule>
  </conditionalFormatting>
  <conditionalFormatting sqref="P41">
    <cfRule type="cellIs" dxfId="2040" priority="1932" stopIfTrue="1" operator="between">
      <formula>0.8</formula>
      <formula>1.2</formula>
    </cfRule>
  </conditionalFormatting>
  <conditionalFormatting sqref="P41">
    <cfRule type="cellIs" dxfId="2039" priority="1931" stopIfTrue="1" operator="lessThan">
      <formula>0.8</formula>
    </cfRule>
  </conditionalFormatting>
  <conditionalFormatting sqref="P41">
    <cfRule type="cellIs" dxfId="2038" priority="1930" stopIfTrue="1" operator="greaterThan">
      <formula>1.2</formula>
    </cfRule>
  </conditionalFormatting>
  <conditionalFormatting sqref="P42">
    <cfRule type="cellIs" dxfId="2037" priority="1929" stopIfTrue="1" operator="between">
      <formula>0.8</formula>
      <formula>1.2</formula>
    </cfRule>
  </conditionalFormatting>
  <conditionalFormatting sqref="P42">
    <cfRule type="cellIs" dxfId="2036" priority="1928" stopIfTrue="1" operator="lessThan">
      <formula>0.8</formula>
    </cfRule>
  </conditionalFormatting>
  <conditionalFormatting sqref="P42">
    <cfRule type="cellIs" dxfId="2035" priority="1927" stopIfTrue="1" operator="greaterThan">
      <formula>1.2</formula>
    </cfRule>
  </conditionalFormatting>
  <conditionalFormatting sqref="P43">
    <cfRule type="cellIs" dxfId="2034" priority="1926" stopIfTrue="1" operator="between">
      <formula>0.8</formula>
      <formula>1.2</formula>
    </cfRule>
  </conditionalFormatting>
  <conditionalFormatting sqref="P43">
    <cfRule type="cellIs" dxfId="2033" priority="1925" stopIfTrue="1" operator="lessThan">
      <formula>0.8</formula>
    </cfRule>
  </conditionalFormatting>
  <conditionalFormatting sqref="P43">
    <cfRule type="cellIs" dxfId="2032" priority="1924" stopIfTrue="1" operator="greaterThan">
      <formula>1.2</formula>
    </cfRule>
  </conditionalFormatting>
  <conditionalFormatting sqref="P44">
    <cfRule type="cellIs" dxfId="2031" priority="1923" stopIfTrue="1" operator="between">
      <formula>0.8</formula>
      <formula>1.2</formula>
    </cfRule>
  </conditionalFormatting>
  <conditionalFormatting sqref="P44">
    <cfRule type="cellIs" dxfId="2030" priority="1922" stopIfTrue="1" operator="lessThan">
      <formula>0.8</formula>
    </cfRule>
  </conditionalFormatting>
  <conditionalFormatting sqref="P44">
    <cfRule type="cellIs" dxfId="2029" priority="1921" stopIfTrue="1" operator="greaterThan">
      <formula>1.2</formula>
    </cfRule>
  </conditionalFormatting>
  <conditionalFormatting sqref="Q25">
    <cfRule type="cellIs" dxfId="2028" priority="1920" stopIfTrue="1" operator="between">
      <formula>0.8</formula>
      <formula>1.2</formula>
    </cfRule>
  </conditionalFormatting>
  <conditionalFormatting sqref="Q25">
    <cfRule type="cellIs" dxfId="2027" priority="1919" stopIfTrue="1" operator="lessThan">
      <formula>0.8</formula>
    </cfRule>
  </conditionalFormatting>
  <conditionalFormatting sqref="Q25">
    <cfRule type="cellIs" dxfId="2026" priority="1918" stopIfTrue="1" operator="greaterThan">
      <formula>1.2</formula>
    </cfRule>
  </conditionalFormatting>
  <conditionalFormatting sqref="Q26">
    <cfRule type="cellIs" dxfId="2025" priority="1917" stopIfTrue="1" operator="between">
      <formula>0.8</formula>
      <formula>1.2</formula>
    </cfRule>
  </conditionalFormatting>
  <conditionalFormatting sqref="Q26">
    <cfRule type="cellIs" dxfId="2024" priority="1916" stopIfTrue="1" operator="lessThan">
      <formula>0.8</formula>
    </cfRule>
  </conditionalFormatting>
  <conditionalFormatting sqref="Q26">
    <cfRule type="cellIs" dxfId="2023" priority="1915" stopIfTrue="1" operator="greaterThan">
      <formula>1.2</formula>
    </cfRule>
  </conditionalFormatting>
  <conditionalFormatting sqref="Q27">
    <cfRule type="cellIs" dxfId="2022" priority="1914" stopIfTrue="1" operator="between">
      <formula>0.8</formula>
      <formula>1.2</formula>
    </cfRule>
  </conditionalFormatting>
  <conditionalFormatting sqref="Q27">
    <cfRule type="cellIs" dxfId="2021" priority="1913" stopIfTrue="1" operator="lessThan">
      <formula>0.8</formula>
    </cfRule>
  </conditionalFormatting>
  <conditionalFormatting sqref="Q27">
    <cfRule type="cellIs" dxfId="2020" priority="1912" stopIfTrue="1" operator="greaterThan">
      <formula>1.2</formula>
    </cfRule>
  </conditionalFormatting>
  <conditionalFormatting sqref="Q28">
    <cfRule type="cellIs" dxfId="2019" priority="1911" stopIfTrue="1" operator="between">
      <formula>0.8</formula>
      <formula>1.2</formula>
    </cfRule>
  </conditionalFormatting>
  <conditionalFormatting sqref="Q28">
    <cfRule type="cellIs" dxfId="2018" priority="1910" stopIfTrue="1" operator="lessThan">
      <formula>0.8</formula>
    </cfRule>
  </conditionalFormatting>
  <conditionalFormatting sqref="Q28">
    <cfRule type="cellIs" dxfId="2017" priority="1909" stopIfTrue="1" operator="greaterThan">
      <formula>1.2</formula>
    </cfRule>
  </conditionalFormatting>
  <conditionalFormatting sqref="Q29">
    <cfRule type="cellIs" dxfId="2016" priority="1908" stopIfTrue="1" operator="between">
      <formula>0.8</formula>
      <formula>1.2</formula>
    </cfRule>
  </conditionalFormatting>
  <conditionalFormatting sqref="Q29">
    <cfRule type="cellIs" dxfId="2015" priority="1907" stopIfTrue="1" operator="lessThan">
      <formula>0.8</formula>
    </cfRule>
  </conditionalFormatting>
  <conditionalFormatting sqref="Q29">
    <cfRule type="cellIs" dxfId="2014" priority="1906" stopIfTrue="1" operator="greaterThan">
      <formula>1.2</formula>
    </cfRule>
  </conditionalFormatting>
  <conditionalFormatting sqref="Q30">
    <cfRule type="cellIs" dxfId="2013" priority="1905" stopIfTrue="1" operator="between">
      <formula>0.8</formula>
      <formula>1.2</formula>
    </cfRule>
  </conditionalFormatting>
  <conditionalFormatting sqref="Q30">
    <cfRule type="cellIs" dxfId="2012" priority="1904" stopIfTrue="1" operator="lessThan">
      <formula>0.8</formula>
    </cfRule>
  </conditionalFormatting>
  <conditionalFormatting sqref="Q30">
    <cfRule type="cellIs" dxfId="2011" priority="1903" stopIfTrue="1" operator="greaterThan">
      <formula>1.2</formula>
    </cfRule>
  </conditionalFormatting>
  <conditionalFormatting sqref="Q31">
    <cfRule type="cellIs" dxfId="2010" priority="1902" stopIfTrue="1" operator="between">
      <formula>0.8</formula>
      <formula>1.2</formula>
    </cfRule>
  </conditionalFormatting>
  <conditionalFormatting sqref="Q31">
    <cfRule type="cellIs" dxfId="2009" priority="1901" stopIfTrue="1" operator="lessThan">
      <formula>0.8</formula>
    </cfRule>
  </conditionalFormatting>
  <conditionalFormatting sqref="Q31">
    <cfRule type="cellIs" dxfId="2008" priority="1900" stopIfTrue="1" operator="greaterThan">
      <formula>1.2</formula>
    </cfRule>
  </conditionalFormatting>
  <conditionalFormatting sqref="Q32">
    <cfRule type="cellIs" dxfId="2007" priority="1899" stopIfTrue="1" operator="between">
      <formula>0.8</formula>
      <formula>1.2</formula>
    </cfRule>
  </conditionalFormatting>
  <conditionalFormatting sqref="Q32">
    <cfRule type="cellIs" dxfId="2006" priority="1898" stopIfTrue="1" operator="lessThan">
      <formula>0.8</formula>
    </cfRule>
  </conditionalFormatting>
  <conditionalFormatting sqref="Q32">
    <cfRule type="cellIs" dxfId="2005" priority="1897" stopIfTrue="1" operator="greaterThan">
      <formula>1.2</formula>
    </cfRule>
  </conditionalFormatting>
  <conditionalFormatting sqref="Q33">
    <cfRule type="cellIs" dxfId="2004" priority="1896" stopIfTrue="1" operator="between">
      <formula>0.8</formula>
      <formula>1.2</formula>
    </cfRule>
  </conditionalFormatting>
  <conditionalFormatting sqref="Q33">
    <cfRule type="cellIs" dxfId="2003" priority="1895" stopIfTrue="1" operator="lessThan">
      <formula>0.8</formula>
    </cfRule>
  </conditionalFormatting>
  <conditionalFormatting sqref="Q33">
    <cfRule type="cellIs" dxfId="2002" priority="1894" stopIfTrue="1" operator="greaterThan">
      <formula>1.2</formula>
    </cfRule>
  </conditionalFormatting>
  <conditionalFormatting sqref="Q34">
    <cfRule type="cellIs" dxfId="2001" priority="1893" stopIfTrue="1" operator="between">
      <formula>0.8</formula>
      <formula>1.2</formula>
    </cfRule>
  </conditionalFormatting>
  <conditionalFormatting sqref="Q34">
    <cfRule type="cellIs" dxfId="2000" priority="1892" stopIfTrue="1" operator="lessThan">
      <formula>0.8</formula>
    </cfRule>
  </conditionalFormatting>
  <conditionalFormatting sqref="Q34">
    <cfRule type="cellIs" dxfId="1999" priority="1891" stopIfTrue="1" operator="greaterThan">
      <formula>1.2</formula>
    </cfRule>
  </conditionalFormatting>
  <conditionalFormatting sqref="Q35">
    <cfRule type="cellIs" dxfId="1998" priority="1890" stopIfTrue="1" operator="between">
      <formula>0.8</formula>
      <formula>1.2</formula>
    </cfRule>
  </conditionalFormatting>
  <conditionalFormatting sqref="Q35">
    <cfRule type="cellIs" dxfId="1997" priority="1889" stopIfTrue="1" operator="lessThan">
      <formula>0.8</formula>
    </cfRule>
  </conditionalFormatting>
  <conditionalFormatting sqref="Q35">
    <cfRule type="cellIs" dxfId="1996" priority="1888" stopIfTrue="1" operator="greaterThan">
      <formula>1.2</formula>
    </cfRule>
  </conditionalFormatting>
  <conditionalFormatting sqref="Q36">
    <cfRule type="cellIs" dxfId="1995" priority="1887" stopIfTrue="1" operator="between">
      <formula>0.8</formula>
      <formula>1.2</formula>
    </cfRule>
  </conditionalFormatting>
  <conditionalFormatting sqref="Q36">
    <cfRule type="cellIs" dxfId="1994" priority="1886" stopIfTrue="1" operator="lessThan">
      <formula>0.8</formula>
    </cfRule>
  </conditionalFormatting>
  <conditionalFormatting sqref="Q36">
    <cfRule type="cellIs" dxfId="1993" priority="1885" stopIfTrue="1" operator="greaterThan">
      <formula>1.2</formula>
    </cfRule>
  </conditionalFormatting>
  <conditionalFormatting sqref="Q37">
    <cfRule type="cellIs" dxfId="1992" priority="1884" stopIfTrue="1" operator="between">
      <formula>0.8</formula>
      <formula>1.2</formula>
    </cfRule>
  </conditionalFormatting>
  <conditionalFormatting sqref="Q37">
    <cfRule type="cellIs" dxfId="1991" priority="1883" stopIfTrue="1" operator="lessThan">
      <formula>0.8</formula>
    </cfRule>
  </conditionalFormatting>
  <conditionalFormatting sqref="Q37">
    <cfRule type="cellIs" dxfId="1990" priority="1882" stopIfTrue="1" operator="greaterThan">
      <formula>1.2</formula>
    </cfRule>
  </conditionalFormatting>
  <conditionalFormatting sqref="Q38">
    <cfRule type="cellIs" dxfId="1989" priority="1881" stopIfTrue="1" operator="between">
      <formula>0.8</formula>
      <formula>1.2</formula>
    </cfRule>
  </conditionalFormatting>
  <conditionalFormatting sqref="Q38">
    <cfRule type="cellIs" dxfId="1988" priority="1880" stopIfTrue="1" operator="lessThan">
      <formula>0.8</formula>
    </cfRule>
  </conditionalFormatting>
  <conditionalFormatting sqref="Q38">
    <cfRule type="cellIs" dxfId="1987" priority="1879" stopIfTrue="1" operator="greaterThan">
      <formula>1.2</formula>
    </cfRule>
  </conditionalFormatting>
  <conditionalFormatting sqref="Q39">
    <cfRule type="cellIs" dxfId="1986" priority="1878" stopIfTrue="1" operator="between">
      <formula>0.8</formula>
      <formula>1.2</formula>
    </cfRule>
  </conditionalFormatting>
  <conditionalFormatting sqref="Q39">
    <cfRule type="cellIs" dxfId="1985" priority="1877" stopIfTrue="1" operator="lessThan">
      <formula>0.8</formula>
    </cfRule>
  </conditionalFormatting>
  <conditionalFormatting sqref="Q39">
    <cfRule type="cellIs" dxfId="1984" priority="1876" stopIfTrue="1" operator="greaterThan">
      <formula>1.2</formula>
    </cfRule>
  </conditionalFormatting>
  <conditionalFormatting sqref="Q40">
    <cfRule type="cellIs" dxfId="1983" priority="1875" stopIfTrue="1" operator="between">
      <formula>0.8</formula>
      <formula>1.2</formula>
    </cfRule>
  </conditionalFormatting>
  <conditionalFormatting sqref="Q40">
    <cfRule type="cellIs" dxfId="1982" priority="1874" stopIfTrue="1" operator="lessThan">
      <formula>0.8</formula>
    </cfRule>
  </conditionalFormatting>
  <conditionalFormatting sqref="Q40">
    <cfRule type="cellIs" dxfId="1981" priority="1873" stopIfTrue="1" operator="greaterThan">
      <formula>1.2</formula>
    </cfRule>
  </conditionalFormatting>
  <conditionalFormatting sqref="Q41">
    <cfRule type="cellIs" dxfId="1980" priority="1872" stopIfTrue="1" operator="between">
      <formula>0.8</formula>
      <formula>1.2</formula>
    </cfRule>
  </conditionalFormatting>
  <conditionalFormatting sqref="Q41">
    <cfRule type="cellIs" dxfId="1979" priority="1871" stopIfTrue="1" operator="lessThan">
      <formula>0.8</formula>
    </cfRule>
  </conditionalFormatting>
  <conditionalFormatting sqref="Q41">
    <cfRule type="cellIs" dxfId="1978" priority="1870" stopIfTrue="1" operator="greaterThan">
      <formula>1.2</formula>
    </cfRule>
  </conditionalFormatting>
  <conditionalFormatting sqref="Q42">
    <cfRule type="cellIs" dxfId="1977" priority="1869" stopIfTrue="1" operator="between">
      <formula>0.8</formula>
      <formula>1.2</formula>
    </cfRule>
  </conditionalFormatting>
  <conditionalFormatting sqref="Q42">
    <cfRule type="cellIs" dxfId="1976" priority="1868" stopIfTrue="1" operator="lessThan">
      <formula>0.8</formula>
    </cfRule>
  </conditionalFormatting>
  <conditionalFormatting sqref="Q42">
    <cfRule type="cellIs" dxfId="1975" priority="1867" stopIfTrue="1" operator="greaterThan">
      <formula>1.2</formula>
    </cfRule>
  </conditionalFormatting>
  <conditionalFormatting sqref="Q43">
    <cfRule type="cellIs" dxfId="1974" priority="1866" stopIfTrue="1" operator="between">
      <formula>0.8</formula>
      <formula>1.2</formula>
    </cfRule>
  </conditionalFormatting>
  <conditionalFormatting sqref="Q43">
    <cfRule type="cellIs" dxfId="1973" priority="1865" stopIfTrue="1" operator="lessThan">
      <formula>0.8</formula>
    </cfRule>
  </conditionalFormatting>
  <conditionalFormatting sqref="Q43">
    <cfRule type="cellIs" dxfId="1972" priority="1864" stopIfTrue="1" operator="greaterThan">
      <formula>1.2</formula>
    </cfRule>
  </conditionalFormatting>
  <conditionalFormatting sqref="Q44">
    <cfRule type="cellIs" dxfId="1971" priority="1863" stopIfTrue="1" operator="between">
      <formula>0.8</formula>
      <formula>1.2</formula>
    </cfRule>
  </conditionalFormatting>
  <conditionalFormatting sqref="Q44">
    <cfRule type="cellIs" dxfId="1970" priority="1862" stopIfTrue="1" operator="lessThan">
      <formula>0.8</formula>
    </cfRule>
  </conditionalFormatting>
  <conditionalFormatting sqref="Q44">
    <cfRule type="cellIs" dxfId="1969" priority="1861" stopIfTrue="1" operator="greaterThan">
      <formula>1.2</formula>
    </cfRule>
  </conditionalFormatting>
  <conditionalFormatting sqref="R25">
    <cfRule type="cellIs" dxfId="1968" priority="1860" stopIfTrue="1" operator="between">
      <formula>0.8</formula>
      <formula>1.2</formula>
    </cfRule>
  </conditionalFormatting>
  <conditionalFormatting sqref="R25">
    <cfRule type="cellIs" dxfId="1967" priority="1859" stopIfTrue="1" operator="lessThan">
      <formula>0.8</formula>
    </cfRule>
  </conditionalFormatting>
  <conditionalFormatting sqref="R25">
    <cfRule type="cellIs" dxfId="1966" priority="1858" stopIfTrue="1" operator="greaterThan">
      <formula>1.2</formula>
    </cfRule>
  </conditionalFormatting>
  <conditionalFormatting sqref="R26">
    <cfRule type="cellIs" dxfId="1965" priority="1857" stopIfTrue="1" operator="between">
      <formula>0.8</formula>
      <formula>1.2</formula>
    </cfRule>
  </conditionalFormatting>
  <conditionalFormatting sqref="R26">
    <cfRule type="cellIs" dxfId="1964" priority="1856" stopIfTrue="1" operator="lessThan">
      <formula>0.8</formula>
    </cfRule>
  </conditionalFormatting>
  <conditionalFormatting sqref="R26">
    <cfRule type="cellIs" dxfId="1963" priority="1855" stopIfTrue="1" operator="greaterThan">
      <formula>1.2</formula>
    </cfRule>
  </conditionalFormatting>
  <conditionalFormatting sqref="R27">
    <cfRule type="cellIs" dxfId="1962" priority="1854" stopIfTrue="1" operator="between">
      <formula>0.8</formula>
      <formula>1.2</formula>
    </cfRule>
  </conditionalFormatting>
  <conditionalFormatting sqref="R27">
    <cfRule type="cellIs" dxfId="1961" priority="1853" stopIfTrue="1" operator="lessThan">
      <formula>0.8</formula>
    </cfRule>
  </conditionalFormatting>
  <conditionalFormatting sqref="R27">
    <cfRule type="cellIs" dxfId="1960" priority="1852" stopIfTrue="1" operator="greaterThan">
      <formula>1.2</formula>
    </cfRule>
  </conditionalFormatting>
  <conditionalFormatting sqref="R28">
    <cfRule type="cellIs" dxfId="1959" priority="1851" stopIfTrue="1" operator="between">
      <formula>0.8</formula>
      <formula>1.2</formula>
    </cfRule>
  </conditionalFormatting>
  <conditionalFormatting sqref="R28">
    <cfRule type="cellIs" dxfId="1958" priority="1850" stopIfTrue="1" operator="lessThan">
      <formula>0.8</formula>
    </cfRule>
  </conditionalFormatting>
  <conditionalFormatting sqref="R28">
    <cfRule type="cellIs" dxfId="1957" priority="1849" stopIfTrue="1" operator="greaterThan">
      <formula>1.2</formula>
    </cfRule>
  </conditionalFormatting>
  <conditionalFormatting sqref="R29">
    <cfRule type="cellIs" dxfId="1956" priority="1848" stopIfTrue="1" operator="between">
      <formula>0.8</formula>
      <formula>1.2</formula>
    </cfRule>
  </conditionalFormatting>
  <conditionalFormatting sqref="R29">
    <cfRule type="cellIs" dxfId="1955" priority="1847" stopIfTrue="1" operator="lessThan">
      <formula>0.8</formula>
    </cfRule>
  </conditionalFormatting>
  <conditionalFormatting sqref="R29">
    <cfRule type="cellIs" dxfId="1954" priority="1846" stopIfTrue="1" operator="greaterThan">
      <formula>1.2</formula>
    </cfRule>
  </conditionalFormatting>
  <conditionalFormatting sqref="R30">
    <cfRule type="cellIs" dxfId="1953" priority="1845" stopIfTrue="1" operator="between">
      <formula>0.8</formula>
      <formula>1.2</formula>
    </cfRule>
  </conditionalFormatting>
  <conditionalFormatting sqref="R30">
    <cfRule type="cellIs" dxfId="1952" priority="1844" stopIfTrue="1" operator="lessThan">
      <formula>0.8</formula>
    </cfRule>
  </conditionalFormatting>
  <conditionalFormatting sqref="R30">
    <cfRule type="cellIs" dxfId="1951" priority="1843" stopIfTrue="1" operator="greaterThan">
      <formula>1.2</formula>
    </cfRule>
  </conditionalFormatting>
  <conditionalFormatting sqref="R31">
    <cfRule type="cellIs" dxfId="1950" priority="1842" stopIfTrue="1" operator="between">
      <formula>0.8</formula>
      <formula>1.2</formula>
    </cfRule>
  </conditionalFormatting>
  <conditionalFormatting sqref="R31">
    <cfRule type="cellIs" dxfId="1949" priority="1841" stopIfTrue="1" operator="lessThan">
      <formula>0.8</formula>
    </cfRule>
  </conditionalFormatting>
  <conditionalFormatting sqref="R31">
    <cfRule type="cellIs" dxfId="1948" priority="1840" stopIfTrue="1" operator="greaterThan">
      <formula>1.2</formula>
    </cfRule>
  </conditionalFormatting>
  <conditionalFormatting sqref="R32">
    <cfRule type="cellIs" dxfId="1947" priority="1839" stopIfTrue="1" operator="between">
      <formula>0.8</formula>
      <formula>1.2</formula>
    </cfRule>
  </conditionalFormatting>
  <conditionalFormatting sqref="R32">
    <cfRule type="cellIs" dxfId="1946" priority="1838" stopIfTrue="1" operator="lessThan">
      <formula>0.8</formula>
    </cfRule>
  </conditionalFormatting>
  <conditionalFormatting sqref="R32">
    <cfRule type="cellIs" dxfId="1945" priority="1837" stopIfTrue="1" operator="greaterThan">
      <formula>1.2</formula>
    </cfRule>
  </conditionalFormatting>
  <conditionalFormatting sqref="R33">
    <cfRule type="cellIs" dxfId="1944" priority="1836" stopIfTrue="1" operator="between">
      <formula>0.8</formula>
      <formula>1.2</formula>
    </cfRule>
  </conditionalFormatting>
  <conditionalFormatting sqref="R33">
    <cfRule type="cellIs" dxfId="1943" priority="1835" stopIfTrue="1" operator="lessThan">
      <formula>0.8</formula>
    </cfRule>
  </conditionalFormatting>
  <conditionalFormatting sqref="R33">
    <cfRule type="cellIs" dxfId="1942" priority="1834" stopIfTrue="1" operator="greaterThan">
      <formula>1.2</formula>
    </cfRule>
  </conditionalFormatting>
  <conditionalFormatting sqref="R34">
    <cfRule type="cellIs" dxfId="1941" priority="1833" stopIfTrue="1" operator="between">
      <formula>0.8</formula>
      <formula>1.2</formula>
    </cfRule>
  </conditionalFormatting>
  <conditionalFormatting sqref="R34">
    <cfRule type="cellIs" dxfId="1940" priority="1832" stopIfTrue="1" operator="lessThan">
      <formula>0.8</formula>
    </cfRule>
  </conditionalFormatting>
  <conditionalFormatting sqref="R34">
    <cfRule type="cellIs" dxfId="1939" priority="1831" stopIfTrue="1" operator="greaterThan">
      <formula>1.2</formula>
    </cfRule>
  </conditionalFormatting>
  <conditionalFormatting sqref="R35">
    <cfRule type="cellIs" dxfId="1938" priority="1830" stopIfTrue="1" operator="between">
      <formula>0.8</formula>
      <formula>1.2</formula>
    </cfRule>
  </conditionalFormatting>
  <conditionalFormatting sqref="R35">
    <cfRule type="cellIs" dxfId="1937" priority="1829" stopIfTrue="1" operator="lessThan">
      <formula>0.8</formula>
    </cfRule>
  </conditionalFormatting>
  <conditionalFormatting sqref="R35">
    <cfRule type="cellIs" dxfId="1936" priority="1828" stopIfTrue="1" operator="greaterThan">
      <formula>1.2</formula>
    </cfRule>
  </conditionalFormatting>
  <conditionalFormatting sqref="R36">
    <cfRule type="cellIs" dxfId="1935" priority="1827" stopIfTrue="1" operator="between">
      <formula>0.8</formula>
      <formula>1.2</formula>
    </cfRule>
  </conditionalFormatting>
  <conditionalFormatting sqref="R36">
    <cfRule type="cellIs" dxfId="1934" priority="1826" stopIfTrue="1" operator="lessThan">
      <formula>0.8</formula>
    </cfRule>
  </conditionalFormatting>
  <conditionalFormatting sqref="R36">
    <cfRule type="cellIs" dxfId="1933" priority="1825" stopIfTrue="1" operator="greaterThan">
      <formula>1.2</formula>
    </cfRule>
  </conditionalFormatting>
  <conditionalFormatting sqref="R37">
    <cfRule type="cellIs" dxfId="1932" priority="1824" stopIfTrue="1" operator="between">
      <formula>0.8</formula>
      <formula>1.2</formula>
    </cfRule>
  </conditionalFormatting>
  <conditionalFormatting sqref="R37">
    <cfRule type="cellIs" dxfId="1931" priority="1823" stopIfTrue="1" operator="lessThan">
      <formula>0.8</formula>
    </cfRule>
  </conditionalFormatting>
  <conditionalFormatting sqref="R37">
    <cfRule type="cellIs" dxfId="1930" priority="1822" stopIfTrue="1" operator="greaterThan">
      <formula>1.2</formula>
    </cfRule>
  </conditionalFormatting>
  <conditionalFormatting sqref="R38">
    <cfRule type="cellIs" dxfId="1929" priority="1821" stopIfTrue="1" operator="between">
      <formula>0.8</formula>
      <formula>1.2</formula>
    </cfRule>
  </conditionalFormatting>
  <conditionalFormatting sqref="R38">
    <cfRule type="cellIs" dxfId="1928" priority="1820" stopIfTrue="1" operator="lessThan">
      <formula>0.8</formula>
    </cfRule>
  </conditionalFormatting>
  <conditionalFormatting sqref="R38">
    <cfRule type="cellIs" dxfId="1927" priority="1819" stopIfTrue="1" operator="greaterThan">
      <formula>1.2</formula>
    </cfRule>
  </conditionalFormatting>
  <conditionalFormatting sqref="R39">
    <cfRule type="cellIs" dxfId="1926" priority="1818" stopIfTrue="1" operator="between">
      <formula>0.8</formula>
      <formula>1.2</formula>
    </cfRule>
  </conditionalFormatting>
  <conditionalFormatting sqref="R39">
    <cfRule type="cellIs" dxfId="1925" priority="1817" stopIfTrue="1" operator="lessThan">
      <formula>0.8</formula>
    </cfRule>
  </conditionalFormatting>
  <conditionalFormatting sqref="R39">
    <cfRule type="cellIs" dxfId="1924" priority="1816" stopIfTrue="1" operator="greaterThan">
      <formula>1.2</formula>
    </cfRule>
  </conditionalFormatting>
  <conditionalFormatting sqref="R40">
    <cfRule type="cellIs" dxfId="1923" priority="1815" stopIfTrue="1" operator="between">
      <formula>0.8</formula>
      <formula>1.2</formula>
    </cfRule>
  </conditionalFormatting>
  <conditionalFormatting sqref="R40">
    <cfRule type="cellIs" dxfId="1922" priority="1814" stopIfTrue="1" operator="lessThan">
      <formula>0.8</formula>
    </cfRule>
  </conditionalFormatting>
  <conditionalFormatting sqref="R40">
    <cfRule type="cellIs" dxfId="1921" priority="1813" stopIfTrue="1" operator="greaterThan">
      <formula>1.2</formula>
    </cfRule>
  </conditionalFormatting>
  <conditionalFormatting sqref="R41">
    <cfRule type="cellIs" dxfId="1920" priority="1812" stopIfTrue="1" operator="between">
      <formula>0.8</formula>
      <formula>1.2</formula>
    </cfRule>
  </conditionalFormatting>
  <conditionalFormatting sqref="R41">
    <cfRule type="cellIs" dxfId="1919" priority="1811" stopIfTrue="1" operator="lessThan">
      <formula>0.8</formula>
    </cfRule>
  </conditionalFormatting>
  <conditionalFormatting sqref="R41">
    <cfRule type="cellIs" dxfId="1918" priority="1810" stopIfTrue="1" operator="greaterThan">
      <formula>1.2</formula>
    </cfRule>
  </conditionalFormatting>
  <conditionalFormatting sqref="R42">
    <cfRule type="cellIs" dxfId="1917" priority="1809" stopIfTrue="1" operator="between">
      <formula>0.8</formula>
      <formula>1.2</formula>
    </cfRule>
  </conditionalFormatting>
  <conditionalFormatting sqref="R42">
    <cfRule type="cellIs" dxfId="1916" priority="1808" stopIfTrue="1" operator="lessThan">
      <formula>0.8</formula>
    </cfRule>
  </conditionalFormatting>
  <conditionalFormatting sqref="R42">
    <cfRule type="cellIs" dxfId="1915" priority="1807" stopIfTrue="1" operator="greaterThan">
      <formula>1.2</formula>
    </cfRule>
  </conditionalFormatting>
  <conditionalFormatting sqref="R43">
    <cfRule type="cellIs" dxfId="1914" priority="1806" stopIfTrue="1" operator="between">
      <formula>0.8</formula>
      <formula>1.2</formula>
    </cfRule>
  </conditionalFormatting>
  <conditionalFormatting sqref="R43">
    <cfRule type="cellIs" dxfId="1913" priority="1805" stopIfTrue="1" operator="lessThan">
      <formula>0.8</formula>
    </cfRule>
  </conditionalFormatting>
  <conditionalFormatting sqref="R43">
    <cfRule type="cellIs" dxfId="1912" priority="1804" stopIfTrue="1" operator="greaterThan">
      <formula>1.2</formula>
    </cfRule>
  </conditionalFormatting>
  <conditionalFormatting sqref="R44">
    <cfRule type="cellIs" dxfId="1911" priority="1803" stopIfTrue="1" operator="between">
      <formula>0.8</formula>
      <formula>1.2</formula>
    </cfRule>
  </conditionalFormatting>
  <conditionalFormatting sqref="R44">
    <cfRule type="cellIs" dxfId="1910" priority="1802" stopIfTrue="1" operator="lessThan">
      <formula>0.8</formula>
    </cfRule>
  </conditionalFormatting>
  <conditionalFormatting sqref="R44">
    <cfRule type="cellIs" dxfId="1909" priority="1801" stopIfTrue="1" operator="greaterThan">
      <formula>1.2</formula>
    </cfRule>
  </conditionalFormatting>
  <conditionalFormatting sqref="S25">
    <cfRule type="cellIs" dxfId="1908" priority="1800" stopIfTrue="1" operator="between">
      <formula>0.8</formula>
      <formula>1.2</formula>
    </cfRule>
  </conditionalFormatting>
  <conditionalFormatting sqref="S25">
    <cfRule type="cellIs" dxfId="1907" priority="1799" stopIfTrue="1" operator="lessThan">
      <formula>0.8</formula>
    </cfRule>
  </conditionalFormatting>
  <conditionalFormatting sqref="S25">
    <cfRule type="cellIs" dxfId="1906" priority="1798" stopIfTrue="1" operator="greaterThan">
      <formula>1.2</formula>
    </cfRule>
  </conditionalFormatting>
  <conditionalFormatting sqref="S26">
    <cfRule type="cellIs" dxfId="1905" priority="1797" stopIfTrue="1" operator="between">
      <formula>0.8</formula>
      <formula>1.2</formula>
    </cfRule>
  </conditionalFormatting>
  <conditionalFormatting sqref="S26">
    <cfRule type="cellIs" dxfId="1904" priority="1796" stopIfTrue="1" operator="lessThan">
      <formula>0.8</formula>
    </cfRule>
  </conditionalFormatting>
  <conditionalFormatting sqref="S26">
    <cfRule type="cellIs" dxfId="1903" priority="1795" stopIfTrue="1" operator="greaterThan">
      <formula>1.2</formula>
    </cfRule>
  </conditionalFormatting>
  <conditionalFormatting sqref="S27">
    <cfRule type="cellIs" dxfId="1902" priority="1794" stopIfTrue="1" operator="between">
      <formula>0.8</formula>
      <formula>1.2</formula>
    </cfRule>
  </conditionalFormatting>
  <conditionalFormatting sqref="S27">
    <cfRule type="cellIs" dxfId="1901" priority="1793" stopIfTrue="1" operator="lessThan">
      <formula>0.8</formula>
    </cfRule>
  </conditionalFormatting>
  <conditionalFormatting sqref="S27">
    <cfRule type="cellIs" dxfId="1900" priority="1792" stopIfTrue="1" operator="greaterThan">
      <formula>1.2</formula>
    </cfRule>
  </conditionalFormatting>
  <conditionalFormatting sqref="S28">
    <cfRule type="cellIs" dxfId="1899" priority="1791" stopIfTrue="1" operator="between">
      <formula>0.8</formula>
      <formula>1.2</formula>
    </cfRule>
  </conditionalFormatting>
  <conditionalFormatting sqref="S28">
    <cfRule type="cellIs" dxfId="1898" priority="1790" stopIfTrue="1" operator="lessThan">
      <formula>0.8</formula>
    </cfRule>
  </conditionalFormatting>
  <conditionalFormatting sqref="S28">
    <cfRule type="cellIs" dxfId="1897" priority="1789" stopIfTrue="1" operator="greaterThan">
      <formula>1.2</formula>
    </cfRule>
  </conditionalFormatting>
  <conditionalFormatting sqref="S29">
    <cfRule type="cellIs" dxfId="1896" priority="1788" stopIfTrue="1" operator="between">
      <formula>0.8</formula>
      <formula>1.2</formula>
    </cfRule>
  </conditionalFormatting>
  <conditionalFormatting sqref="S29">
    <cfRule type="cellIs" dxfId="1895" priority="1787" stopIfTrue="1" operator="lessThan">
      <formula>0.8</formula>
    </cfRule>
  </conditionalFormatting>
  <conditionalFormatting sqref="S29">
    <cfRule type="cellIs" dxfId="1894" priority="1786" stopIfTrue="1" operator="greaterThan">
      <formula>1.2</formula>
    </cfRule>
  </conditionalFormatting>
  <conditionalFormatting sqref="S30">
    <cfRule type="cellIs" dxfId="1893" priority="1785" stopIfTrue="1" operator="between">
      <formula>0.8</formula>
      <formula>1.2</formula>
    </cfRule>
  </conditionalFormatting>
  <conditionalFormatting sqref="S30">
    <cfRule type="cellIs" dxfId="1892" priority="1784" stopIfTrue="1" operator="lessThan">
      <formula>0.8</formula>
    </cfRule>
  </conditionalFormatting>
  <conditionalFormatting sqref="S30">
    <cfRule type="cellIs" dxfId="1891" priority="1783" stopIfTrue="1" operator="greaterThan">
      <formula>1.2</formula>
    </cfRule>
  </conditionalFormatting>
  <conditionalFormatting sqref="S31">
    <cfRule type="cellIs" dxfId="1890" priority="1782" stopIfTrue="1" operator="between">
      <formula>0.8</formula>
      <formula>1.2</formula>
    </cfRule>
  </conditionalFormatting>
  <conditionalFormatting sqref="S31">
    <cfRule type="cellIs" dxfId="1889" priority="1781" stopIfTrue="1" operator="lessThan">
      <formula>0.8</formula>
    </cfRule>
  </conditionalFormatting>
  <conditionalFormatting sqref="S31">
    <cfRule type="cellIs" dxfId="1888" priority="1780" stopIfTrue="1" operator="greaterThan">
      <formula>1.2</formula>
    </cfRule>
  </conditionalFormatting>
  <conditionalFormatting sqref="S32">
    <cfRule type="cellIs" dxfId="1887" priority="1779" stopIfTrue="1" operator="between">
      <formula>0.8</formula>
      <formula>1.2</formula>
    </cfRule>
  </conditionalFormatting>
  <conditionalFormatting sqref="S32">
    <cfRule type="cellIs" dxfId="1886" priority="1778" stopIfTrue="1" operator="lessThan">
      <formula>0.8</formula>
    </cfRule>
  </conditionalFormatting>
  <conditionalFormatting sqref="S32">
    <cfRule type="cellIs" dxfId="1885" priority="1777" stopIfTrue="1" operator="greaterThan">
      <formula>1.2</formula>
    </cfRule>
  </conditionalFormatting>
  <conditionalFormatting sqref="S33">
    <cfRule type="cellIs" dxfId="1884" priority="1776" stopIfTrue="1" operator="between">
      <formula>0.8</formula>
      <formula>1.2</formula>
    </cfRule>
  </conditionalFormatting>
  <conditionalFormatting sqref="S33">
    <cfRule type="cellIs" dxfId="1883" priority="1775" stopIfTrue="1" operator="lessThan">
      <formula>0.8</formula>
    </cfRule>
  </conditionalFormatting>
  <conditionalFormatting sqref="S33">
    <cfRule type="cellIs" dxfId="1882" priority="1774" stopIfTrue="1" operator="greaterThan">
      <formula>1.2</formula>
    </cfRule>
  </conditionalFormatting>
  <conditionalFormatting sqref="S34">
    <cfRule type="cellIs" dxfId="1881" priority="1773" stopIfTrue="1" operator="between">
      <formula>0.8</formula>
      <formula>1.2</formula>
    </cfRule>
  </conditionalFormatting>
  <conditionalFormatting sqref="S34">
    <cfRule type="cellIs" dxfId="1880" priority="1772" stopIfTrue="1" operator="lessThan">
      <formula>0.8</formula>
    </cfRule>
  </conditionalFormatting>
  <conditionalFormatting sqref="S34">
    <cfRule type="cellIs" dxfId="1879" priority="1771" stopIfTrue="1" operator="greaterThan">
      <formula>1.2</formula>
    </cfRule>
  </conditionalFormatting>
  <conditionalFormatting sqref="S35">
    <cfRule type="cellIs" dxfId="1878" priority="1770" stopIfTrue="1" operator="between">
      <formula>0.8</formula>
      <formula>1.2</formula>
    </cfRule>
  </conditionalFormatting>
  <conditionalFormatting sqref="S35">
    <cfRule type="cellIs" dxfId="1877" priority="1769" stopIfTrue="1" operator="lessThan">
      <formula>0.8</formula>
    </cfRule>
  </conditionalFormatting>
  <conditionalFormatting sqref="S35">
    <cfRule type="cellIs" dxfId="1876" priority="1768" stopIfTrue="1" operator="greaterThan">
      <formula>1.2</formula>
    </cfRule>
  </conditionalFormatting>
  <conditionalFormatting sqref="S36">
    <cfRule type="cellIs" dxfId="1875" priority="1767" stopIfTrue="1" operator="between">
      <formula>0.8</formula>
      <formula>1.2</formula>
    </cfRule>
  </conditionalFormatting>
  <conditionalFormatting sqref="S36">
    <cfRule type="cellIs" dxfId="1874" priority="1766" stopIfTrue="1" operator="lessThan">
      <formula>0.8</formula>
    </cfRule>
  </conditionalFormatting>
  <conditionalFormatting sqref="S36">
    <cfRule type="cellIs" dxfId="1873" priority="1765" stopIfTrue="1" operator="greaterThan">
      <formula>1.2</formula>
    </cfRule>
  </conditionalFormatting>
  <conditionalFormatting sqref="S37">
    <cfRule type="cellIs" dxfId="1872" priority="1764" stopIfTrue="1" operator="between">
      <formula>0.8</formula>
      <formula>1.2</formula>
    </cfRule>
  </conditionalFormatting>
  <conditionalFormatting sqref="S37">
    <cfRule type="cellIs" dxfId="1871" priority="1763" stopIfTrue="1" operator="lessThan">
      <formula>0.8</formula>
    </cfRule>
  </conditionalFormatting>
  <conditionalFormatting sqref="S37">
    <cfRule type="cellIs" dxfId="1870" priority="1762" stopIfTrue="1" operator="greaterThan">
      <formula>1.2</formula>
    </cfRule>
  </conditionalFormatting>
  <conditionalFormatting sqref="S38">
    <cfRule type="cellIs" dxfId="1869" priority="1761" stopIfTrue="1" operator="between">
      <formula>0.8</formula>
      <formula>1.2</formula>
    </cfRule>
  </conditionalFormatting>
  <conditionalFormatting sqref="S38">
    <cfRule type="cellIs" dxfId="1868" priority="1760" stopIfTrue="1" operator="lessThan">
      <formula>0.8</formula>
    </cfRule>
  </conditionalFormatting>
  <conditionalFormatting sqref="S38">
    <cfRule type="cellIs" dxfId="1867" priority="1759" stopIfTrue="1" operator="greaterThan">
      <formula>1.2</formula>
    </cfRule>
  </conditionalFormatting>
  <conditionalFormatting sqref="S39">
    <cfRule type="cellIs" dxfId="1866" priority="1758" stopIfTrue="1" operator="between">
      <formula>0.8</formula>
      <formula>1.2</formula>
    </cfRule>
  </conditionalFormatting>
  <conditionalFormatting sqref="S39">
    <cfRule type="cellIs" dxfId="1865" priority="1757" stopIfTrue="1" operator="lessThan">
      <formula>0.8</formula>
    </cfRule>
  </conditionalFormatting>
  <conditionalFormatting sqref="S39">
    <cfRule type="cellIs" dxfId="1864" priority="1756" stopIfTrue="1" operator="greaterThan">
      <formula>1.2</formula>
    </cfRule>
  </conditionalFormatting>
  <conditionalFormatting sqref="S40">
    <cfRule type="cellIs" dxfId="1863" priority="1755" stopIfTrue="1" operator="between">
      <formula>0.8</formula>
      <formula>1.2</formula>
    </cfRule>
  </conditionalFormatting>
  <conditionalFormatting sqref="S40">
    <cfRule type="cellIs" dxfId="1862" priority="1754" stopIfTrue="1" operator="lessThan">
      <formula>0.8</formula>
    </cfRule>
  </conditionalFormatting>
  <conditionalFormatting sqref="S40">
    <cfRule type="cellIs" dxfId="1861" priority="1753" stopIfTrue="1" operator="greaterThan">
      <formula>1.2</formula>
    </cfRule>
  </conditionalFormatting>
  <conditionalFormatting sqref="S41">
    <cfRule type="cellIs" dxfId="1860" priority="1752" stopIfTrue="1" operator="between">
      <formula>0.8</formula>
      <formula>1.2</formula>
    </cfRule>
  </conditionalFormatting>
  <conditionalFormatting sqref="S41">
    <cfRule type="cellIs" dxfId="1859" priority="1751" stopIfTrue="1" operator="lessThan">
      <formula>0.8</formula>
    </cfRule>
  </conditionalFormatting>
  <conditionalFormatting sqref="S41">
    <cfRule type="cellIs" dxfId="1858" priority="1750" stopIfTrue="1" operator="greaterThan">
      <formula>1.2</formula>
    </cfRule>
  </conditionalFormatting>
  <conditionalFormatting sqref="S42">
    <cfRule type="cellIs" dxfId="1857" priority="1749" stopIfTrue="1" operator="between">
      <formula>0.8</formula>
      <formula>1.2</formula>
    </cfRule>
  </conditionalFormatting>
  <conditionalFormatting sqref="S42">
    <cfRule type="cellIs" dxfId="1856" priority="1748" stopIfTrue="1" operator="lessThan">
      <formula>0.8</formula>
    </cfRule>
  </conditionalFormatting>
  <conditionalFormatting sqref="S42">
    <cfRule type="cellIs" dxfId="1855" priority="1747" stopIfTrue="1" operator="greaterThan">
      <formula>1.2</formula>
    </cfRule>
  </conditionalFormatting>
  <conditionalFormatting sqref="S43">
    <cfRule type="cellIs" dxfId="1854" priority="1746" stopIfTrue="1" operator="between">
      <formula>0.8</formula>
      <formula>1.2</formula>
    </cfRule>
  </conditionalFormatting>
  <conditionalFormatting sqref="S43">
    <cfRule type="cellIs" dxfId="1853" priority="1745" stopIfTrue="1" operator="lessThan">
      <formula>0.8</formula>
    </cfRule>
  </conditionalFormatting>
  <conditionalFormatting sqref="S43">
    <cfRule type="cellIs" dxfId="1852" priority="1744" stopIfTrue="1" operator="greaterThan">
      <formula>1.2</formula>
    </cfRule>
  </conditionalFormatting>
  <conditionalFormatting sqref="S44">
    <cfRule type="cellIs" dxfId="1851" priority="1743" stopIfTrue="1" operator="between">
      <formula>0.8</formula>
      <formula>1.2</formula>
    </cfRule>
  </conditionalFormatting>
  <conditionalFormatting sqref="S44">
    <cfRule type="cellIs" dxfId="1850" priority="1742" stopIfTrue="1" operator="lessThan">
      <formula>0.8</formula>
    </cfRule>
  </conditionalFormatting>
  <conditionalFormatting sqref="S44">
    <cfRule type="cellIs" dxfId="1849" priority="1741" stopIfTrue="1" operator="greaterThan">
      <formula>1.2</formula>
    </cfRule>
  </conditionalFormatting>
  <conditionalFormatting sqref="T25">
    <cfRule type="cellIs" dxfId="1848" priority="1740" stopIfTrue="1" operator="between">
      <formula>0.8</formula>
      <formula>1.2</formula>
    </cfRule>
  </conditionalFormatting>
  <conditionalFormatting sqref="T25">
    <cfRule type="cellIs" dxfId="1847" priority="1739" stopIfTrue="1" operator="lessThan">
      <formula>0.8</formula>
    </cfRule>
  </conditionalFormatting>
  <conditionalFormatting sqref="T25">
    <cfRule type="cellIs" dxfId="1846" priority="1738" stopIfTrue="1" operator="greaterThan">
      <formula>1.2</formula>
    </cfRule>
  </conditionalFormatting>
  <conditionalFormatting sqref="T26">
    <cfRule type="cellIs" dxfId="1845" priority="1737" stopIfTrue="1" operator="between">
      <formula>0.8</formula>
      <formula>1.2</formula>
    </cfRule>
  </conditionalFormatting>
  <conditionalFormatting sqref="T26">
    <cfRule type="cellIs" dxfId="1844" priority="1736" stopIfTrue="1" operator="lessThan">
      <formula>0.8</formula>
    </cfRule>
  </conditionalFormatting>
  <conditionalFormatting sqref="T26">
    <cfRule type="cellIs" dxfId="1843" priority="1735" stopIfTrue="1" operator="greaterThan">
      <formula>1.2</formula>
    </cfRule>
  </conditionalFormatting>
  <conditionalFormatting sqref="T27">
    <cfRule type="cellIs" dxfId="1842" priority="1734" stopIfTrue="1" operator="between">
      <formula>0.8</formula>
      <formula>1.2</formula>
    </cfRule>
  </conditionalFormatting>
  <conditionalFormatting sqref="T27">
    <cfRule type="cellIs" dxfId="1841" priority="1733" stopIfTrue="1" operator="lessThan">
      <formula>0.8</formula>
    </cfRule>
  </conditionalFormatting>
  <conditionalFormatting sqref="T27">
    <cfRule type="cellIs" dxfId="1840" priority="1732" stopIfTrue="1" operator="greaterThan">
      <formula>1.2</formula>
    </cfRule>
  </conditionalFormatting>
  <conditionalFormatting sqref="T28">
    <cfRule type="cellIs" dxfId="1839" priority="1731" stopIfTrue="1" operator="between">
      <formula>0.8</formula>
      <formula>1.2</formula>
    </cfRule>
  </conditionalFormatting>
  <conditionalFormatting sqref="T28">
    <cfRule type="cellIs" dxfId="1838" priority="1730" stopIfTrue="1" operator="lessThan">
      <formula>0.8</formula>
    </cfRule>
  </conditionalFormatting>
  <conditionalFormatting sqref="T28">
    <cfRule type="cellIs" dxfId="1837" priority="1729" stopIfTrue="1" operator="greaterThan">
      <formula>1.2</formula>
    </cfRule>
  </conditionalFormatting>
  <conditionalFormatting sqref="T29">
    <cfRule type="cellIs" dxfId="1836" priority="1728" stopIfTrue="1" operator="between">
      <formula>0.8</formula>
      <formula>1.2</formula>
    </cfRule>
  </conditionalFormatting>
  <conditionalFormatting sqref="T29">
    <cfRule type="cellIs" dxfId="1835" priority="1727" stopIfTrue="1" operator="lessThan">
      <formula>0.8</formula>
    </cfRule>
  </conditionalFormatting>
  <conditionalFormatting sqref="T29">
    <cfRule type="cellIs" dxfId="1834" priority="1726" stopIfTrue="1" operator="greaterThan">
      <formula>1.2</formula>
    </cfRule>
  </conditionalFormatting>
  <conditionalFormatting sqref="T30">
    <cfRule type="cellIs" dxfId="1833" priority="1725" stopIfTrue="1" operator="between">
      <formula>0.8</formula>
      <formula>1.2</formula>
    </cfRule>
  </conditionalFormatting>
  <conditionalFormatting sqref="T30">
    <cfRule type="cellIs" dxfId="1832" priority="1724" stopIfTrue="1" operator="lessThan">
      <formula>0.8</formula>
    </cfRule>
  </conditionalFormatting>
  <conditionalFormatting sqref="T30">
    <cfRule type="cellIs" dxfId="1831" priority="1723" stopIfTrue="1" operator="greaterThan">
      <formula>1.2</formula>
    </cfRule>
  </conditionalFormatting>
  <conditionalFormatting sqref="T31">
    <cfRule type="cellIs" dxfId="1830" priority="1722" stopIfTrue="1" operator="between">
      <formula>0.8</formula>
      <formula>1.2</formula>
    </cfRule>
  </conditionalFormatting>
  <conditionalFormatting sqref="T31">
    <cfRule type="cellIs" dxfId="1829" priority="1721" stopIfTrue="1" operator="lessThan">
      <formula>0.8</formula>
    </cfRule>
  </conditionalFormatting>
  <conditionalFormatting sqref="T31">
    <cfRule type="cellIs" dxfId="1828" priority="1720" stopIfTrue="1" operator="greaterThan">
      <formula>1.2</formula>
    </cfRule>
  </conditionalFormatting>
  <conditionalFormatting sqref="T32">
    <cfRule type="cellIs" dxfId="1827" priority="1719" stopIfTrue="1" operator="between">
      <formula>0.8</formula>
      <formula>1.2</formula>
    </cfRule>
  </conditionalFormatting>
  <conditionalFormatting sqref="T32">
    <cfRule type="cellIs" dxfId="1826" priority="1718" stopIfTrue="1" operator="lessThan">
      <formula>0.8</formula>
    </cfRule>
  </conditionalFormatting>
  <conditionalFormatting sqref="T32">
    <cfRule type="cellIs" dxfId="1825" priority="1717" stopIfTrue="1" operator="greaterThan">
      <formula>1.2</formula>
    </cfRule>
  </conditionalFormatting>
  <conditionalFormatting sqref="T33">
    <cfRule type="cellIs" dxfId="1824" priority="1716" stopIfTrue="1" operator="between">
      <formula>0.8</formula>
      <formula>1.2</formula>
    </cfRule>
  </conditionalFormatting>
  <conditionalFormatting sqref="T33">
    <cfRule type="cellIs" dxfId="1823" priority="1715" stopIfTrue="1" operator="lessThan">
      <formula>0.8</formula>
    </cfRule>
  </conditionalFormatting>
  <conditionalFormatting sqref="T33">
    <cfRule type="cellIs" dxfId="1822" priority="1714" stopIfTrue="1" operator="greaterThan">
      <formula>1.2</formula>
    </cfRule>
  </conditionalFormatting>
  <conditionalFormatting sqref="T34">
    <cfRule type="cellIs" dxfId="1821" priority="1713" stopIfTrue="1" operator="between">
      <formula>0.8</formula>
      <formula>1.2</formula>
    </cfRule>
  </conditionalFormatting>
  <conditionalFormatting sqref="T34">
    <cfRule type="cellIs" dxfId="1820" priority="1712" stopIfTrue="1" operator="lessThan">
      <formula>0.8</formula>
    </cfRule>
  </conditionalFormatting>
  <conditionalFormatting sqref="T34">
    <cfRule type="cellIs" dxfId="1819" priority="1711" stopIfTrue="1" operator="greaterThan">
      <formula>1.2</formula>
    </cfRule>
  </conditionalFormatting>
  <conditionalFormatting sqref="T35">
    <cfRule type="cellIs" dxfId="1818" priority="1710" stopIfTrue="1" operator="between">
      <formula>0.8</formula>
      <formula>1.2</formula>
    </cfRule>
  </conditionalFormatting>
  <conditionalFormatting sqref="T35">
    <cfRule type="cellIs" dxfId="1817" priority="1709" stopIfTrue="1" operator="lessThan">
      <formula>0.8</formula>
    </cfRule>
  </conditionalFormatting>
  <conditionalFormatting sqref="T35">
    <cfRule type="cellIs" dxfId="1816" priority="1708" stopIfTrue="1" operator="greaterThan">
      <formula>1.2</formula>
    </cfRule>
  </conditionalFormatting>
  <conditionalFormatting sqref="T36">
    <cfRule type="cellIs" dxfId="1815" priority="1707" stopIfTrue="1" operator="between">
      <formula>0.8</formula>
      <formula>1.2</formula>
    </cfRule>
  </conditionalFormatting>
  <conditionalFormatting sqref="T36">
    <cfRule type="cellIs" dxfId="1814" priority="1706" stopIfTrue="1" operator="lessThan">
      <formula>0.8</formula>
    </cfRule>
  </conditionalFormatting>
  <conditionalFormatting sqref="T36">
    <cfRule type="cellIs" dxfId="1813" priority="1705" stopIfTrue="1" operator="greaterThan">
      <formula>1.2</formula>
    </cfRule>
  </conditionalFormatting>
  <conditionalFormatting sqref="T37">
    <cfRule type="cellIs" dxfId="1812" priority="1704" stopIfTrue="1" operator="between">
      <formula>0.8</formula>
      <formula>1.2</formula>
    </cfRule>
  </conditionalFormatting>
  <conditionalFormatting sqref="T37">
    <cfRule type="cellIs" dxfId="1811" priority="1703" stopIfTrue="1" operator="lessThan">
      <formula>0.8</formula>
    </cfRule>
  </conditionalFormatting>
  <conditionalFormatting sqref="T37">
    <cfRule type="cellIs" dxfId="1810" priority="1702" stopIfTrue="1" operator="greaterThan">
      <formula>1.2</formula>
    </cfRule>
  </conditionalFormatting>
  <conditionalFormatting sqref="T38">
    <cfRule type="cellIs" dxfId="1809" priority="1701" stopIfTrue="1" operator="between">
      <formula>0.8</formula>
      <formula>1.2</formula>
    </cfRule>
  </conditionalFormatting>
  <conditionalFormatting sqref="T38">
    <cfRule type="cellIs" dxfId="1808" priority="1700" stopIfTrue="1" operator="lessThan">
      <formula>0.8</formula>
    </cfRule>
  </conditionalFormatting>
  <conditionalFormatting sqref="T38">
    <cfRule type="cellIs" dxfId="1807" priority="1699" stopIfTrue="1" operator="greaterThan">
      <formula>1.2</formula>
    </cfRule>
  </conditionalFormatting>
  <conditionalFormatting sqref="T39">
    <cfRule type="cellIs" dxfId="1806" priority="1698" stopIfTrue="1" operator="between">
      <formula>0.8</formula>
      <formula>1.2</formula>
    </cfRule>
  </conditionalFormatting>
  <conditionalFormatting sqref="T39">
    <cfRule type="cellIs" dxfId="1805" priority="1697" stopIfTrue="1" operator="lessThan">
      <formula>0.8</formula>
    </cfRule>
  </conditionalFormatting>
  <conditionalFormatting sqref="T39">
    <cfRule type="cellIs" dxfId="1804" priority="1696" stopIfTrue="1" operator="greaterThan">
      <formula>1.2</formula>
    </cfRule>
  </conditionalFormatting>
  <conditionalFormatting sqref="T40">
    <cfRule type="cellIs" dxfId="1803" priority="1695" stopIfTrue="1" operator="between">
      <formula>0.8</formula>
      <formula>1.2</formula>
    </cfRule>
  </conditionalFormatting>
  <conditionalFormatting sqref="T40">
    <cfRule type="cellIs" dxfId="1802" priority="1694" stopIfTrue="1" operator="lessThan">
      <formula>0.8</formula>
    </cfRule>
  </conditionalFormatting>
  <conditionalFormatting sqref="T40">
    <cfRule type="cellIs" dxfId="1801" priority="1693" stopIfTrue="1" operator="greaterThan">
      <formula>1.2</formula>
    </cfRule>
  </conditionalFormatting>
  <conditionalFormatting sqref="T41">
    <cfRule type="cellIs" dxfId="1800" priority="1692" stopIfTrue="1" operator="between">
      <formula>0.8</formula>
      <formula>1.2</formula>
    </cfRule>
  </conditionalFormatting>
  <conditionalFormatting sqref="T41">
    <cfRule type="cellIs" dxfId="1799" priority="1691" stopIfTrue="1" operator="lessThan">
      <formula>0.8</formula>
    </cfRule>
  </conditionalFormatting>
  <conditionalFormatting sqref="T41">
    <cfRule type="cellIs" dxfId="1798" priority="1690" stopIfTrue="1" operator="greaterThan">
      <formula>1.2</formula>
    </cfRule>
  </conditionalFormatting>
  <conditionalFormatting sqref="T42">
    <cfRule type="cellIs" dxfId="1797" priority="1689" stopIfTrue="1" operator="between">
      <formula>0.8</formula>
      <formula>1.2</formula>
    </cfRule>
  </conditionalFormatting>
  <conditionalFormatting sqref="T42">
    <cfRule type="cellIs" dxfId="1796" priority="1688" stopIfTrue="1" operator="lessThan">
      <formula>0.8</formula>
    </cfRule>
  </conditionalFormatting>
  <conditionalFormatting sqref="T42">
    <cfRule type="cellIs" dxfId="1795" priority="1687" stopIfTrue="1" operator="greaterThan">
      <formula>1.2</formula>
    </cfRule>
  </conditionalFormatting>
  <conditionalFormatting sqref="T43">
    <cfRule type="cellIs" dxfId="1794" priority="1686" stopIfTrue="1" operator="between">
      <formula>0.8</formula>
      <formula>1.2</formula>
    </cfRule>
  </conditionalFormatting>
  <conditionalFormatting sqref="T43">
    <cfRule type="cellIs" dxfId="1793" priority="1685" stopIfTrue="1" operator="lessThan">
      <formula>0.8</formula>
    </cfRule>
  </conditionalFormatting>
  <conditionalFormatting sqref="T43">
    <cfRule type="cellIs" dxfId="1792" priority="1684" stopIfTrue="1" operator="greaterThan">
      <formula>1.2</formula>
    </cfRule>
  </conditionalFormatting>
  <conditionalFormatting sqref="T44">
    <cfRule type="cellIs" dxfId="1791" priority="1683" stopIfTrue="1" operator="between">
      <formula>0.8</formula>
      <formula>1.2</formula>
    </cfRule>
  </conditionalFormatting>
  <conditionalFormatting sqref="T44">
    <cfRule type="cellIs" dxfId="1790" priority="1682" stopIfTrue="1" operator="lessThan">
      <formula>0.8</formula>
    </cfRule>
  </conditionalFormatting>
  <conditionalFormatting sqref="T44">
    <cfRule type="cellIs" dxfId="1789" priority="1681" stopIfTrue="1" operator="greaterThan">
      <formula>1.2</formula>
    </cfRule>
  </conditionalFormatting>
  <conditionalFormatting sqref="U25">
    <cfRule type="cellIs" dxfId="1788" priority="1680" stopIfTrue="1" operator="between">
      <formula>0.8</formula>
      <formula>1.2</formula>
    </cfRule>
  </conditionalFormatting>
  <conditionalFormatting sqref="U25">
    <cfRule type="cellIs" dxfId="1787" priority="1679" stopIfTrue="1" operator="lessThan">
      <formula>0.8</formula>
    </cfRule>
  </conditionalFormatting>
  <conditionalFormatting sqref="U25">
    <cfRule type="cellIs" dxfId="1786" priority="1678" stopIfTrue="1" operator="greaterThan">
      <formula>1.2</formula>
    </cfRule>
  </conditionalFormatting>
  <conditionalFormatting sqref="U26">
    <cfRule type="cellIs" dxfId="1785" priority="1677" stopIfTrue="1" operator="between">
      <formula>0.8</formula>
      <formula>1.2</formula>
    </cfRule>
  </conditionalFormatting>
  <conditionalFormatting sqref="U26">
    <cfRule type="cellIs" dxfId="1784" priority="1676" stopIfTrue="1" operator="lessThan">
      <formula>0.8</formula>
    </cfRule>
  </conditionalFormatting>
  <conditionalFormatting sqref="U26">
    <cfRule type="cellIs" dxfId="1783" priority="1675" stopIfTrue="1" operator="greaterThan">
      <formula>1.2</formula>
    </cfRule>
  </conditionalFormatting>
  <conditionalFormatting sqref="U27">
    <cfRule type="cellIs" dxfId="1782" priority="1674" stopIfTrue="1" operator="between">
      <formula>0.8</formula>
      <formula>1.2</formula>
    </cfRule>
  </conditionalFormatting>
  <conditionalFormatting sqref="U27">
    <cfRule type="cellIs" dxfId="1781" priority="1673" stopIfTrue="1" operator="lessThan">
      <formula>0.8</formula>
    </cfRule>
  </conditionalFormatting>
  <conditionalFormatting sqref="U27">
    <cfRule type="cellIs" dxfId="1780" priority="1672" stopIfTrue="1" operator="greaterThan">
      <formula>1.2</formula>
    </cfRule>
  </conditionalFormatting>
  <conditionalFormatting sqref="U28">
    <cfRule type="cellIs" dxfId="1779" priority="1671" stopIfTrue="1" operator="between">
      <formula>0.8</formula>
      <formula>1.2</formula>
    </cfRule>
  </conditionalFormatting>
  <conditionalFormatting sqref="U28">
    <cfRule type="cellIs" dxfId="1778" priority="1670" stopIfTrue="1" operator="lessThan">
      <formula>0.8</formula>
    </cfRule>
  </conditionalFormatting>
  <conditionalFormatting sqref="U28">
    <cfRule type="cellIs" dxfId="1777" priority="1669" stopIfTrue="1" operator="greaterThan">
      <formula>1.2</formula>
    </cfRule>
  </conditionalFormatting>
  <conditionalFormatting sqref="U29">
    <cfRule type="cellIs" dxfId="1776" priority="1668" stopIfTrue="1" operator="between">
      <formula>0.8</formula>
      <formula>1.2</formula>
    </cfRule>
  </conditionalFormatting>
  <conditionalFormatting sqref="U29">
    <cfRule type="cellIs" dxfId="1775" priority="1667" stopIfTrue="1" operator="lessThan">
      <formula>0.8</formula>
    </cfRule>
  </conditionalFormatting>
  <conditionalFormatting sqref="U29">
    <cfRule type="cellIs" dxfId="1774" priority="1666" stopIfTrue="1" operator="greaterThan">
      <formula>1.2</formula>
    </cfRule>
  </conditionalFormatting>
  <conditionalFormatting sqref="U30">
    <cfRule type="cellIs" dxfId="1773" priority="1665" stopIfTrue="1" operator="between">
      <formula>0.8</formula>
      <formula>1.2</formula>
    </cfRule>
  </conditionalFormatting>
  <conditionalFormatting sqref="U30">
    <cfRule type="cellIs" dxfId="1772" priority="1664" stopIfTrue="1" operator="lessThan">
      <formula>0.8</formula>
    </cfRule>
  </conditionalFormatting>
  <conditionalFormatting sqref="U30">
    <cfRule type="cellIs" dxfId="1771" priority="1663" stopIfTrue="1" operator="greaterThan">
      <formula>1.2</formula>
    </cfRule>
  </conditionalFormatting>
  <conditionalFormatting sqref="U31">
    <cfRule type="cellIs" dxfId="1770" priority="1662" stopIfTrue="1" operator="between">
      <formula>0.8</formula>
      <formula>1.2</formula>
    </cfRule>
  </conditionalFormatting>
  <conditionalFormatting sqref="U31">
    <cfRule type="cellIs" dxfId="1769" priority="1661" stopIfTrue="1" operator="lessThan">
      <formula>0.8</formula>
    </cfRule>
  </conditionalFormatting>
  <conditionalFormatting sqref="U31">
    <cfRule type="cellIs" dxfId="1768" priority="1660" stopIfTrue="1" operator="greaterThan">
      <formula>1.2</formula>
    </cfRule>
  </conditionalFormatting>
  <conditionalFormatting sqref="U32">
    <cfRule type="cellIs" dxfId="1767" priority="1659" stopIfTrue="1" operator="between">
      <formula>0.8</formula>
      <formula>1.2</formula>
    </cfRule>
  </conditionalFormatting>
  <conditionalFormatting sqref="U32">
    <cfRule type="cellIs" dxfId="1766" priority="1658" stopIfTrue="1" operator="lessThan">
      <formula>0.8</formula>
    </cfRule>
  </conditionalFormatting>
  <conditionalFormatting sqref="U32">
    <cfRule type="cellIs" dxfId="1765" priority="1657" stopIfTrue="1" operator="greaterThan">
      <formula>1.2</formula>
    </cfRule>
  </conditionalFormatting>
  <conditionalFormatting sqref="U33">
    <cfRule type="cellIs" dxfId="1764" priority="1656" stopIfTrue="1" operator="between">
      <formula>0.8</formula>
      <formula>1.2</formula>
    </cfRule>
  </conditionalFormatting>
  <conditionalFormatting sqref="U33">
    <cfRule type="cellIs" dxfId="1763" priority="1655" stopIfTrue="1" operator="lessThan">
      <formula>0.8</formula>
    </cfRule>
  </conditionalFormatting>
  <conditionalFormatting sqref="U33">
    <cfRule type="cellIs" dxfId="1762" priority="1654" stopIfTrue="1" operator="greaterThan">
      <formula>1.2</formula>
    </cfRule>
  </conditionalFormatting>
  <conditionalFormatting sqref="U34">
    <cfRule type="cellIs" dxfId="1761" priority="1653" stopIfTrue="1" operator="between">
      <formula>0.8</formula>
      <formula>1.2</formula>
    </cfRule>
  </conditionalFormatting>
  <conditionalFormatting sqref="U34">
    <cfRule type="cellIs" dxfId="1760" priority="1652" stopIfTrue="1" operator="lessThan">
      <formula>0.8</formula>
    </cfRule>
  </conditionalFormatting>
  <conditionalFormatting sqref="U34">
    <cfRule type="cellIs" dxfId="1759" priority="1651" stopIfTrue="1" operator="greaterThan">
      <formula>1.2</formula>
    </cfRule>
  </conditionalFormatting>
  <conditionalFormatting sqref="U35">
    <cfRule type="cellIs" dxfId="1758" priority="1650" stopIfTrue="1" operator="between">
      <formula>0.8</formula>
      <formula>1.2</formula>
    </cfRule>
  </conditionalFormatting>
  <conditionalFormatting sqref="U35">
    <cfRule type="cellIs" dxfId="1757" priority="1649" stopIfTrue="1" operator="lessThan">
      <formula>0.8</formula>
    </cfRule>
  </conditionalFormatting>
  <conditionalFormatting sqref="U35">
    <cfRule type="cellIs" dxfId="1756" priority="1648" stopIfTrue="1" operator="greaterThan">
      <formula>1.2</formula>
    </cfRule>
  </conditionalFormatting>
  <conditionalFormatting sqref="U36">
    <cfRule type="cellIs" dxfId="1755" priority="1647" stopIfTrue="1" operator="between">
      <formula>0.8</formula>
      <formula>1.2</formula>
    </cfRule>
  </conditionalFormatting>
  <conditionalFormatting sqref="U36">
    <cfRule type="cellIs" dxfId="1754" priority="1646" stopIfTrue="1" operator="lessThan">
      <formula>0.8</formula>
    </cfRule>
  </conditionalFormatting>
  <conditionalFormatting sqref="U36">
    <cfRule type="cellIs" dxfId="1753" priority="1645" stopIfTrue="1" operator="greaterThan">
      <formula>1.2</formula>
    </cfRule>
  </conditionalFormatting>
  <conditionalFormatting sqref="U37">
    <cfRule type="cellIs" dxfId="1752" priority="1644" stopIfTrue="1" operator="between">
      <formula>0.8</formula>
      <formula>1.2</formula>
    </cfRule>
  </conditionalFormatting>
  <conditionalFormatting sqref="U37">
    <cfRule type="cellIs" dxfId="1751" priority="1643" stopIfTrue="1" operator="lessThan">
      <formula>0.8</formula>
    </cfRule>
  </conditionalFormatting>
  <conditionalFormatting sqref="U37">
    <cfRule type="cellIs" dxfId="1750" priority="1642" stopIfTrue="1" operator="greaterThan">
      <formula>1.2</formula>
    </cfRule>
  </conditionalFormatting>
  <conditionalFormatting sqref="U38">
    <cfRule type="cellIs" dxfId="1749" priority="1641" stopIfTrue="1" operator="between">
      <formula>0.8</formula>
      <formula>1.2</formula>
    </cfRule>
  </conditionalFormatting>
  <conditionalFormatting sqref="U38">
    <cfRule type="cellIs" dxfId="1748" priority="1640" stopIfTrue="1" operator="lessThan">
      <formula>0.8</formula>
    </cfRule>
  </conditionalFormatting>
  <conditionalFormatting sqref="U38">
    <cfRule type="cellIs" dxfId="1747" priority="1639" stopIfTrue="1" operator="greaterThan">
      <formula>1.2</formula>
    </cfRule>
  </conditionalFormatting>
  <conditionalFormatting sqref="U39">
    <cfRule type="cellIs" dxfId="1746" priority="1638" stopIfTrue="1" operator="between">
      <formula>0.8</formula>
      <formula>1.2</formula>
    </cfRule>
  </conditionalFormatting>
  <conditionalFormatting sqref="U39">
    <cfRule type="cellIs" dxfId="1745" priority="1637" stopIfTrue="1" operator="lessThan">
      <formula>0.8</formula>
    </cfRule>
  </conditionalFormatting>
  <conditionalFormatting sqref="U39">
    <cfRule type="cellIs" dxfId="1744" priority="1636" stopIfTrue="1" operator="greaterThan">
      <formula>1.2</formula>
    </cfRule>
  </conditionalFormatting>
  <conditionalFormatting sqref="U40">
    <cfRule type="cellIs" dxfId="1743" priority="1635" stopIfTrue="1" operator="between">
      <formula>0.8</formula>
      <formula>1.2</formula>
    </cfRule>
  </conditionalFormatting>
  <conditionalFormatting sqref="U40">
    <cfRule type="cellIs" dxfId="1742" priority="1634" stopIfTrue="1" operator="lessThan">
      <formula>0.8</formula>
    </cfRule>
  </conditionalFormatting>
  <conditionalFormatting sqref="U40">
    <cfRule type="cellIs" dxfId="1741" priority="1633" stopIfTrue="1" operator="greaterThan">
      <formula>1.2</formula>
    </cfRule>
  </conditionalFormatting>
  <conditionalFormatting sqref="U41">
    <cfRule type="cellIs" dxfId="1740" priority="1632" stopIfTrue="1" operator="between">
      <formula>0.8</formula>
      <formula>1.2</formula>
    </cfRule>
  </conditionalFormatting>
  <conditionalFormatting sqref="U41">
    <cfRule type="cellIs" dxfId="1739" priority="1631" stopIfTrue="1" operator="lessThan">
      <formula>0.8</formula>
    </cfRule>
  </conditionalFormatting>
  <conditionalFormatting sqref="U41">
    <cfRule type="cellIs" dxfId="1738" priority="1630" stopIfTrue="1" operator="greaterThan">
      <formula>1.2</formula>
    </cfRule>
  </conditionalFormatting>
  <conditionalFormatting sqref="U42">
    <cfRule type="cellIs" dxfId="1737" priority="1629" stopIfTrue="1" operator="between">
      <formula>0.8</formula>
      <formula>1.2</formula>
    </cfRule>
  </conditionalFormatting>
  <conditionalFormatting sqref="U42">
    <cfRule type="cellIs" dxfId="1736" priority="1628" stopIfTrue="1" operator="lessThan">
      <formula>0.8</formula>
    </cfRule>
  </conditionalFormatting>
  <conditionalFormatting sqref="U42">
    <cfRule type="cellIs" dxfId="1735" priority="1627" stopIfTrue="1" operator="greaterThan">
      <formula>1.2</formula>
    </cfRule>
  </conditionalFormatting>
  <conditionalFormatting sqref="U43">
    <cfRule type="cellIs" dxfId="1734" priority="1626" stopIfTrue="1" operator="between">
      <formula>0.8</formula>
      <formula>1.2</formula>
    </cfRule>
  </conditionalFormatting>
  <conditionalFormatting sqref="U43">
    <cfRule type="cellIs" dxfId="1733" priority="1625" stopIfTrue="1" operator="lessThan">
      <formula>0.8</formula>
    </cfRule>
  </conditionalFormatting>
  <conditionalFormatting sqref="U43">
    <cfRule type="cellIs" dxfId="1732" priority="1624" stopIfTrue="1" operator="greaterThan">
      <formula>1.2</formula>
    </cfRule>
  </conditionalFormatting>
  <conditionalFormatting sqref="U44">
    <cfRule type="cellIs" dxfId="1731" priority="1623" stopIfTrue="1" operator="between">
      <formula>0.8</formula>
      <formula>1.2</formula>
    </cfRule>
  </conditionalFormatting>
  <conditionalFormatting sqref="U44">
    <cfRule type="cellIs" dxfId="1730" priority="1622" stopIfTrue="1" operator="lessThan">
      <formula>0.8</formula>
    </cfRule>
  </conditionalFormatting>
  <conditionalFormatting sqref="U44">
    <cfRule type="cellIs" dxfId="1729" priority="1621" stopIfTrue="1" operator="greaterThan">
      <formula>1.2</formula>
    </cfRule>
  </conditionalFormatting>
  <conditionalFormatting sqref="V25">
    <cfRule type="cellIs" dxfId="1728" priority="1620" stopIfTrue="1" operator="between">
      <formula>0.8</formula>
      <formula>1.2</formula>
    </cfRule>
  </conditionalFormatting>
  <conditionalFormatting sqref="V25">
    <cfRule type="cellIs" dxfId="1727" priority="1619" stopIfTrue="1" operator="lessThan">
      <formula>0.8</formula>
    </cfRule>
  </conditionalFormatting>
  <conditionalFormatting sqref="V25">
    <cfRule type="cellIs" dxfId="1726" priority="1618" stopIfTrue="1" operator="greaterThan">
      <formula>1.2</formula>
    </cfRule>
  </conditionalFormatting>
  <conditionalFormatting sqref="V26">
    <cfRule type="cellIs" dxfId="1725" priority="1617" stopIfTrue="1" operator="between">
      <formula>0.8</formula>
      <formula>1.2</formula>
    </cfRule>
  </conditionalFormatting>
  <conditionalFormatting sqref="V26">
    <cfRule type="cellIs" dxfId="1724" priority="1616" stopIfTrue="1" operator="lessThan">
      <formula>0.8</formula>
    </cfRule>
  </conditionalFormatting>
  <conditionalFormatting sqref="V26">
    <cfRule type="cellIs" dxfId="1723" priority="1615" stopIfTrue="1" operator="greaterThan">
      <formula>1.2</formula>
    </cfRule>
  </conditionalFormatting>
  <conditionalFormatting sqref="V27">
    <cfRule type="cellIs" dxfId="1722" priority="1614" stopIfTrue="1" operator="between">
      <formula>0.8</formula>
      <formula>1.2</formula>
    </cfRule>
  </conditionalFormatting>
  <conditionalFormatting sqref="V27">
    <cfRule type="cellIs" dxfId="1721" priority="1613" stopIfTrue="1" operator="lessThan">
      <formula>0.8</formula>
    </cfRule>
  </conditionalFormatting>
  <conditionalFormatting sqref="V27">
    <cfRule type="cellIs" dxfId="1720" priority="1612" stopIfTrue="1" operator="greaterThan">
      <formula>1.2</formula>
    </cfRule>
  </conditionalFormatting>
  <conditionalFormatting sqref="V28">
    <cfRule type="cellIs" dxfId="1719" priority="1611" stopIfTrue="1" operator="between">
      <formula>0.8</formula>
      <formula>1.2</formula>
    </cfRule>
  </conditionalFormatting>
  <conditionalFormatting sqref="V28">
    <cfRule type="cellIs" dxfId="1718" priority="1610" stopIfTrue="1" operator="lessThan">
      <formula>0.8</formula>
    </cfRule>
  </conditionalFormatting>
  <conditionalFormatting sqref="V28">
    <cfRule type="cellIs" dxfId="1717" priority="1609" stopIfTrue="1" operator="greaterThan">
      <formula>1.2</formula>
    </cfRule>
  </conditionalFormatting>
  <conditionalFormatting sqref="V29">
    <cfRule type="cellIs" dxfId="1716" priority="1608" stopIfTrue="1" operator="between">
      <formula>0.8</formula>
      <formula>1.2</formula>
    </cfRule>
  </conditionalFormatting>
  <conditionalFormatting sqref="V29">
    <cfRule type="cellIs" dxfId="1715" priority="1607" stopIfTrue="1" operator="lessThan">
      <formula>0.8</formula>
    </cfRule>
  </conditionalFormatting>
  <conditionalFormatting sqref="V29">
    <cfRule type="cellIs" dxfId="1714" priority="1606" stopIfTrue="1" operator="greaterThan">
      <formula>1.2</formula>
    </cfRule>
  </conditionalFormatting>
  <conditionalFormatting sqref="V30">
    <cfRule type="cellIs" dxfId="1713" priority="1605" stopIfTrue="1" operator="between">
      <formula>0.8</formula>
      <formula>1.2</formula>
    </cfRule>
  </conditionalFormatting>
  <conditionalFormatting sqref="V30">
    <cfRule type="cellIs" dxfId="1712" priority="1604" stopIfTrue="1" operator="lessThan">
      <formula>0.8</formula>
    </cfRule>
  </conditionalFormatting>
  <conditionalFormatting sqref="V30">
    <cfRule type="cellIs" dxfId="1711" priority="1603" stopIfTrue="1" operator="greaterThan">
      <formula>1.2</formula>
    </cfRule>
  </conditionalFormatting>
  <conditionalFormatting sqref="V31">
    <cfRule type="cellIs" dxfId="1710" priority="1602" stopIfTrue="1" operator="between">
      <formula>0.8</formula>
      <formula>1.2</formula>
    </cfRule>
  </conditionalFormatting>
  <conditionalFormatting sqref="V31">
    <cfRule type="cellIs" dxfId="1709" priority="1601" stopIfTrue="1" operator="lessThan">
      <formula>0.8</formula>
    </cfRule>
  </conditionalFormatting>
  <conditionalFormatting sqref="V31">
    <cfRule type="cellIs" dxfId="1708" priority="1600" stopIfTrue="1" operator="greaterThan">
      <formula>1.2</formula>
    </cfRule>
  </conditionalFormatting>
  <conditionalFormatting sqref="V32">
    <cfRule type="cellIs" dxfId="1707" priority="1599" stopIfTrue="1" operator="between">
      <formula>0.8</formula>
      <formula>1.2</formula>
    </cfRule>
  </conditionalFormatting>
  <conditionalFormatting sqref="V32">
    <cfRule type="cellIs" dxfId="1706" priority="1598" stopIfTrue="1" operator="lessThan">
      <formula>0.8</formula>
    </cfRule>
  </conditionalFormatting>
  <conditionalFormatting sqref="V32">
    <cfRule type="cellIs" dxfId="1705" priority="1597" stopIfTrue="1" operator="greaterThan">
      <formula>1.2</formula>
    </cfRule>
  </conditionalFormatting>
  <conditionalFormatting sqref="V33">
    <cfRule type="cellIs" dxfId="1704" priority="1596" stopIfTrue="1" operator="between">
      <formula>0.8</formula>
      <formula>1.2</formula>
    </cfRule>
  </conditionalFormatting>
  <conditionalFormatting sqref="V33">
    <cfRule type="cellIs" dxfId="1703" priority="1595" stopIfTrue="1" operator="lessThan">
      <formula>0.8</formula>
    </cfRule>
  </conditionalFormatting>
  <conditionalFormatting sqref="V33">
    <cfRule type="cellIs" dxfId="1702" priority="1594" stopIfTrue="1" operator="greaterThan">
      <formula>1.2</formula>
    </cfRule>
  </conditionalFormatting>
  <conditionalFormatting sqref="V34">
    <cfRule type="cellIs" dxfId="1701" priority="1593" stopIfTrue="1" operator="between">
      <formula>0.8</formula>
      <formula>1.2</formula>
    </cfRule>
  </conditionalFormatting>
  <conditionalFormatting sqref="V34">
    <cfRule type="cellIs" dxfId="1700" priority="1592" stopIfTrue="1" operator="lessThan">
      <formula>0.8</formula>
    </cfRule>
  </conditionalFormatting>
  <conditionalFormatting sqref="V34">
    <cfRule type="cellIs" dxfId="1699" priority="1591" stopIfTrue="1" operator="greaterThan">
      <formula>1.2</formula>
    </cfRule>
  </conditionalFormatting>
  <conditionalFormatting sqref="V35">
    <cfRule type="cellIs" dxfId="1698" priority="1590" stopIfTrue="1" operator="between">
      <formula>0.8</formula>
      <formula>1.2</formula>
    </cfRule>
  </conditionalFormatting>
  <conditionalFormatting sqref="V35">
    <cfRule type="cellIs" dxfId="1697" priority="1589" stopIfTrue="1" operator="lessThan">
      <formula>0.8</formula>
    </cfRule>
  </conditionalFormatting>
  <conditionalFormatting sqref="V35">
    <cfRule type="cellIs" dxfId="1696" priority="1588" stopIfTrue="1" operator="greaterThan">
      <formula>1.2</formula>
    </cfRule>
  </conditionalFormatting>
  <conditionalFormatting sqref="V36">
    <cfRule type="cellIs" dxfId="1695" priority="1587" stopIfTrue="1" operator="between">
      <formula>0.8</formula>
      <formula>1.2</formula>
    </cfRule>
  </conditionalFormatting>
  <conditionalFormatting sqref="V36">
    <cfRule type="cellIs" dxfId="1694" priority="1586" stopIfTrue="1" operator="lessThan">
      <formula>0.8</formula>
    </cfRule>
  </conditionalFormatting>
  <conditionalFormatting sqref="V36">
    <cfRule type="cellIs" dxfId="1693" priority="1585" stopIfTrue="1" operator="greaterThan">
      <formula>1.2</formula>
    </cfRule>
  </conditionalFormatting>
  <conditionalFormatting sqref="V37">
    <cfRule type="cellIs" dxfId="1692" priority="1584" stopIfTrue="1" operator="between">
      <formula>0.8</formula>
      <formula>1.2</formula>
    </cfRule>
  </conditionalFormatting>
  <conditionalFormatting sqref="V37">
    <cfRule type="cellIs" dxfId="1691" priority="1583" stopIfTrue="1" operator="lessThan">
      <formula>0.8</formula>
    </cfRule>
  </conditionalFormatting>
  <conditionalFormatting sqref="V37">
    <cfRule type="cellIs" dxfId="1690" priority="1582" stopIfTrue="1" operator="greaterThan">
      <formula>1.2</formula>
    </cfRule>
  </conditionalFormatting>
  <conditionalFormatting sqref="V38">
    <cfRule type="cellIs" dxfId="1689" priority="1581" stopIfTrue="1" operator="between">
      <formula>0.8</formula>
      <formula>1.2</formula>
    </cfRule>
  </conditionalFormatting>
  <conditionalFormatting sqref="V38">
    <cfRule type="cellIs" dxfId="1688" priority="1580" stopIfTrue="1" operator="lessThan">
      <formula>0.8</formula>
    </cfRule>
  </conditionalFormatting>
  <conditionalFormatting sqref="V38">
    <cfRule type="cellIs" dxfId="1687" priority="1579" stopIfTrue="1" operator="greaterThan">
      <formula>1.2</formula>
    </cfRule>
  </conditionalFormatting>
  <conditionalFormatting sqref="V39">
    <cfRule type="cellIs" dxfId="1686" priority="1578" stopIfTrue="1" operator="between">
      <formula>0.8</formula>
      <formula>1.2</formula>
    </cfRule>
  </conditionalFormatting>
  <conditionalFormatting sqref="V39">
    <cfRule type="cellIs" dxfId="1685" priority="1577" stopIfTrue="1" operator="lessThan">
      <formula>0.8</formula>
    </cfRule>
  </conditionalFormatting>
  <conditionalFormatting sqref="V39">
    <cfRule type="cellIs" dxfId="1684" priority="1576" stopIfTrue="1" operator="greaterThan">
      <formula>1.2</formula>
    </cfRule>
  </conditionalFormatting>
  <conditionalFormatting sqref="V40">
    <cfRule type="cellIs" dxfId="1683" priority="1575" stopIfTrue="1" operator="between">
      <formula>0.8</formula>
      <formula>1.2</formula>
    </cfRule>
  </conditionalFormatting>
  <conditionalFormatting sqref="V40">
    <cfRule type="cellIs" dxfId="1682" priority="1574" stopIfTrue="1" operator="lessThan">
      <formula>0.8</formula>
    </cfRule>
  </conditionalFormatting>
  <conditionalFormatting sqref="V40">
    <cfRule type="cellIs" dxfId="1681" priority="1573" stopIfTrue="1" operator="greaterThan">
      <formula>1.2</formula>
    </cfRule>
  </conditionalFormatting>
  <conditionalFormatting sqref="V41">
    <cfRule type="cellIs" dxfId="1680" priority="1572" stopIfTrue="1" operator="between">
      <formula>0.8</formula>
      <formula>1.2</formula>
    </cfRule>
  </conditionalFormatting>
  <conditionalFormatting sqref="V41">
    <cfRule type="cellIs" dxfId="1679" priority="1571" stopIfTrue="1" operator="lessThan">
      <formula>0.8</formula>
    </cfRule>
  </conditionalFormatting>
  <conditionalFormatting sqref="V41">
    <cfRule type="cellIs" dxfId="1678" priority="1570" stopIfTrue="1" operator="greaterThan">
      <formula>1.2</formula>
    </cfRule>
  </conditionalFormatting>
  <conditionalFormatting sqref="V42">
    <cfRule type="cellIs" dxfId="1677" priority="1569" stopIfTrue="1" operator="between">
      <formula>0.8</formula>
      <formula>1.2</formula>
    </cfRule>
  </conditionalFormatting>
  <conditionalFormatting sqref="V42">
    <cfRule type="cellIs" dxfId="1676" priority="1568" stopIfTrue="1" operator="lessThan">
      <formula>0.8</formula>
    </cfRule>
  </conditionalFormatting>
  <conditionalFormatting sqref="V42">
    <cfRule type="cellIs" dxfId="1675" priority="1567" stopIfTrue="1" operator="greaterThan">
      <formula>1.2</formula>
    </cfRule>
  </conditionalFormatting>
  <conditionalFormatting sqref="V43">
    <cfRule type="cellIs" dxfId="1674" priority="1566" stopIfTrue="1" operator="between">
      <formula>0.8</formula>
      <formula>1.2</formula>
    </cfRule>
  </conditionalFormatting>
  <conditionalFormatting sqref="V43">
    <cfRule type="cellIs" dxfId="1673" priority="1565" stopIfTrue="1" operator="lessThan">
      <formula>0.8</formula>
    </cfRule>
  </conditionalFormatting>
  <conditionalFormatting sqref="V43">
    <cfRule type="cellIs" dxfId="1672" priority="1564" stopIfTrue="1" operator="greaterThan">
      <formula>1.2</formula>
    </cfRule>
  </conditionalFormatting>
  <conditionalFormatting sqref="V44">
    <cfRule type="cellIs" dxfId="1671" priority="1563" stopIfTrue="1" operator="between">
      <formula>0.8</formula>
      <formula>1.2</formula>
    </cfRule>
  </conditionalFormatting>
  <conditionalFormatting sqref="V44">
    <cfRule type="cellIs" dxfId="1670" priority="1562" stopIfTrue="1" operator="lessThan">
      <formula>0.8</formula>
    </cfRule>
  </conditionalFormatting>
  <conditionalFormatting sqref="V44">
    <cfRule type="cellIs" dxfId="1669" priority="1561" stopIfTrue="1" operator="greaterThan">
      <formula>1.2</formula>
    </cfRule>
  </conditionalFormatting>
  <conditionalFormatting sqref="W25">
    <cfRule type="cellIs" dxfId="1668" priority="1560" stopIfTrue="1" operator="between">
      <formula>0.8</formula>
      <formula>1.2</formula>
    </cfRule>
  </conditionalFormatting>
  <conditionalFormatting sqref="W25">
    <cfRule type="cellIs" dxfId="1667" priority="1559" stopIfTrue="1" operator="lessThan">
      <formula>0.8</formula>
    </cfRule>
  </conditionalFormatting>
  <conditionalFormatting sqref="W25">
    <cfRule type="cellIs" dxfId="1666" priority="1558" stopIfTrue="1" operator="greaterThan">
      <formula>1.2</formula>
    </cfRule>
  </conditionalFormatting>
  <conditionalFormatting sqref="W26">
    <cfRule type="cellIs" dxfId="1665" priority="1557" stopIfTrue="1" operator="between">
      <formula>0.8</formula>
      <formula>1.2</formula>
    </cfRule>
  </conditionalFormatting>
  <conditionalFormatting sqref="W26">
    <cfRule type="cellIs" dxfId="1664" priority="1556" stopIfTrue="1" operator="lessThan">
      <formula>0.8</formula>
    </cfRule>
  </conditionalFormatting>
  <conditionalFormatting sqref="W26">
    <cfRule type="cellIs" dxfId="1663" priority="1555" stopIfTrue="1" operator="greaterThan">
      <formula>1.2</formula>
    </cfRule>
  </conditionalFormatting>
  <conditionalFormatting sqref="W27">
    <cfRule type="cellIs" dxfId="1662" priority="1554" stopIfTrue="1" operator="between">
      <formula>0.8</formula>
      <formula>1.2</formula>
    </cfRule>
  </conditionalFormatting>
  <conditionalFormatting sqref="W27">
    <cfRule type="cellIs" dxfId="1661" priority="1553" stopIfTrue="1" operator="lessThan">
      <formula>0.8</formula>
    </cfRule>
  </conditionalFormatting>
  <conditionalFormatting sqref="W27">
    <cfRule type="cellIs" dxfId="1660" priority="1552" stopIfTrue="1" operator="greaterThan">
      <formula>1.2</formula>
    </cfRule>
  </conditionalFormatting>
  <conditionalFormatting sqref="W28">
    <cfRule type="cellIs" dxfId="1659" priority="1551" stopIfTrue="1" operator="between">
      <formula>0.8</formula>
      <formula>1.2</formula>
    </cfRule>
  </conditionalFormatting>
  <conditionalFormatting sqref="W28">
    <cfRule type="cellIs" dxfId="1658" priority="1550" stopIfTrue="1" operator="lessThan">
      <formula>0.8</formula>
    </cfRule>
  </conditionalFormatting>
  <conditionalFormatting sqref="W28">
    <cfRule type="cellIs" dxfId="1657" priority="1549" stopIfTrue="1" operator="greaterThan">
      <formula>1.2</formula>
    </cfRule>
  </conditionalFormatting>
  <conditionalFormatting sqref="W29">
    <cfRule type="cellIs" dxfId="1656" priority="1548" stopIfTrue="1" operator="between">
      <formula>0.8</formula>
      <formula>1.2</formula>
    </cfRule>
  </conditionalFormatting>
  <conditionalFormatting sqref="W29">
    <cfRule type="cellIs" dxfId="1655" priority="1547" stopIfTrue="1" operator="lessThan">
      <formula>0.8</formula>
    </cfRule>
  </conditionalFormatting>
  <conditionalFormatting sqref="W29">
    <cfRule type="cellIs" dxfId="1654" priority="1546" stopIfTrue="1" operator="greaterThan">
      <formula>1.2</formula>
    </cfRule>
  </conditionalFormatting>
  <conditionalFormatting sqref="W30">
    <cfRule type="cellIs" dxfId="1653" priority="1545" stopIfTrue="1" operator="between">
      <formula>0.8</formula>
      <formula>1.2</formula>
    </cfRule>
  </conditionalFormatting>
  <conditionalFormatting sqref="W30">
    <cfRule type="cellIs" dxfId="1652" priority="1544" stopIfTrue="1" operator="lessThan">
      <formula>0.8</formula>
    </cfRule>
  </conditionalFormatting>
  <conditionalFormatting sqref="W30">
    <cfRule type="cellIs" dxfId="1651" priority="1543" stopIfTrue="1" operator="greaterThan">
      <formula>1.2</formula>
    </cfRule>
  </conditionalFormatting>
  <conditionalFormatting sqref="W31">
    <cfRule type="cellIs" dxfId="1650" priority="1542" stopIfTrue="1" operator="between">
      <formula>0.8</formula>
      <formula>1.2</formula>
    </cfRule>
  </conditionalFormatting>
  <conditionalFormatting sqref="W31">
    <cfRule type="cellIs" dxfId="1649" priority="1541" stopIfTrue="1" operator="lessThan">
      <formula>0.8</formula>
    </cfRule>
  </conditionalFormatting>
  <conditionalFormatting sqref="W31">
    <cfRule type="cellIs" dxfId="1648" priority="1540" stopIfTrue="1" operator="greaterThan">
      <formula>1.2</formula>
    </cfRule>
  </conditionalFormatting>
  <conditionalFormatting sqref="W32">
    <cfRule type="cellIs" dxfId="1647" priority="1539" stopIfTrue="1" operator="between">
      <formula>0.8</formula>
      <formula>1.2</formula>
    </cfRule>
  </conditionalFormatting>
  <conditionalFormatting sqref="W32">
    <cfRule type="cellIs" dxfId="1646" priority="1538" stopIfTrue="1" operator="lessThan">
      <formula>0.8</formula>
    </cfRule>
  </conditionalFormatting>
  <conditionalFormatting sqref="W32">
    <cfRule type="cellIs" dxfId="1645" priority="1537" stopIfTrue="1" operator="greaterThan">
      <formula>1.2</formula>
    </cfRule>
  </conditionalFormatting>
  <conditionalFormatting sqref="W33">
    <cfRule type="cellIs" dxfId="1644" priority="1536" stopIfTrue="1" operator="between">
      <formula>0.8</formula>
      <formula>1.2</formula>
    </cfRule>
  </conditionalFormatting>
  <conditionalFormatting sqref="W33">
    <cfRule type="cellIs" dxfId="1643" priority="1535" stopIfTrue="1" operator="lessThan">
      <formula>0.8</formula>
    </cfRule>
  </conditionalFormatting>
  <conditionalFormatting sqref="W33">
    <cfRule type="cellIs" dxfId="1642" priority="1534" stopIfTrue="1" operator="greaterThan">
      <formula>1.2</formula>
    </cfRule>
  </conditionalFormatting>
  <conditionalFormatting sqref="W34">
    <cfRule type="cellIs" dxfId="1641" priority="1533" stopIfTrue="1" operator="between">
      <formula>0.8</formula>
      <formula>1.2</formula>
    </cfRule>
  </conditionalFormatting>
  <conditionalFormatting sqref="W34">
    <cfRule type="cellIs" dxfId="1640" priority="1532" stopIfTrue="1" operator="lessThan">
      <formula>0.8</formula>
    </cfRule>
  </conditionalFormatting>
  <conditionalFormatting sqref="W34">
    <cfRule type="cellIs" dxfId="1639" priority="1531" stopIfTrue="1" operator="greaterThan">
      <formula>1.2</formula>
    </cfRule>
  </conditionalFormatting>
  <conditionalFormatting sqref="W35">
    <cfRule type="cellIs" dxfId="1638" priority="1530" stopIfTrue="1" operator="between">
      <formula>0.8</formula>
      <formula>1.2</formula>
    </cfRule>
  </conditionalFormatting>
  <conditionalFormatting sqref="W35">
    <cfRule type="cellIs" dxfId="1637" priority="1529" stopIfTrue="1" operator="lessThan">
      <formula>0.8</formula>
    </cfRule>
  </conditionalFormatting>
  <conditionalFormatting sqref="W35">
    <cfRule type="cellIs" dxfId="1636" priority="1528" stopIfTrue="1" operator="greaterThan">
      <formula>1.2</formula>
    </cfRule>
  </conditionalFormatting>
  <conditionalFormatting sqref="W36">
    <cfRule type="cellIs" dxfId="1635" priority="1527" stopIfTrue="1" operator="between">
      <formula>0.8</formula>
      <formula>1.2</formula>
    </cfRule>
  </conditionalFormatting>
  <conditionalFormatting sqref="W36">
    <cfRule type="cellIs" dxfId="1634" priority="1526" stopIfTrue="1" operator="lessThan">
      <formula>0.8</formula>
    </cfRule>
  </conditionalFormatting>
  <conditionalFormatting sqref="W36">
    <cfRule type="cellIs" dxfId="1633" priority="1525" stopIfTrue="1" operator="greaterThan">
      <formula>1.2</formula>
    </cfRule>
  </conditionalFormatting>
  <conditionalFormatting sqref="W37">
    <cfRule type="cellIs" dxfId="1632" priority="1524" stopIfTrue="1" operator="between">
      <formula>0.8</formula>
      <formula>1.2</formula>
    </cfRule>
  </conditionalFormatting>
  <conditionalFormatting sqref="W37">
    <cfRule type="cellIs" dxfId="1631" priority="1523" stopIfTrue="1" operator="lessThan">
      <formula>0.8</formula>
    </cfRule>
  </conditionalFormatting>
  <conditionalFormatting sqref="W37">
    <cfRule type="cellIs" dxfId="1630" priority="1522" stopIfTrue="1" operator="greaterThan">
      <formula>1.2</formula>
    </cfRule>
  </conditionalFormatting>
  <conditionalFormatting sqref="W38">
    <cfRule type="cellIs" dxfId="1629" priority="1521" stopIfTrue="1" operator="between">
      <formula>0.8</formula>
      <formula>1.2</formula>
    </cfRule>
  </conditionalFormatting>
  <conditionalFormatting sqref="W38">
    <cfRule type="cellIs" dxfId="1628" priority="1520" stopIfTrue="1" operator="lessThan">
      <formula>0.8</formula>
    </cfRule>
  </conditionalFormatting>
  <conditionalFormatting sqref="W38">
    <cfRule type="cellIs" dxfId="1627" priority="1519" stopIfTrue="1" operator="greaterThan">
      <formula>1.2</formula>
    </cfRule>
  </conditionalFormatting>
  <conditionalFormatting sqref="W39">
    <cfRule type="cellIs" dxfId="1626" priority="1518" stopIfTrue="1" operator="between">
      <formula>0.8</formula>
      <formula>1.2</formula>
    </cfRule>
  </conditionalFormatting>
  <conditionalFormatting sqref="W39">
    <cfRule type="cellIs" dxfId="1625" priority="1517" stopIfTrue="1" operator="lessThan">
      <formula>0.8</formula>
    </cfRule>
  </conditionalFormatting>
  <conditionalFormatting sqref="W39">
    <cfRule type="cellIs" dxfId="1624" priority="1516" stopIfTrue="1" operator="greaterThan">
      <formula>1.2</formula>
    </cfRule>
  </conditionalFormatting>
  <conditionalFormatting sqref="W40">
    <cfRule type="cellIs" dxfId="1623" priority="1515" stopIfTrue="1" operator="between">
      <formula>0.8</formula>
      <formula>1.2</formula>
    </cfRule>
  </conditionalFormatting>
  <conditionalFormatting sqref="W40">
    <cfRule type="cellIs" dxfId="1622" priority="1514" stopIfTrue="1" operator="lessThan">
      <formula>0.8</formula>
    </cfRule>
  </conditionalFormatting>
  <conditionalFormatting sqref="W40">
    <cfRule type="cellIs" dxfId="1621" priority="1513" stopIfTrue="1" operator="greaterThan">
      <formula>1.2</formula>
    </cfRule>
  </conditionalFormatting>
  <conditionalFormatting sqref="W41">
    <cfRule type="cellIs" dxfId="1620" priority="1512" stopIfTrue="1" operator="between">
      <formula>0.8</formula>
      <formula>1.2</formula>
    </cfRule>
  </conditionalFormatting>
  <conditionalFormatting sqref="W41">
    <cfRule type="cellIs" dxfId="1619" priority="1511" stopIfTrue="1" operator="lessThan">
      <formula>0.8</formula>
    </cfRule>
  </conditionalFormatting>
  <conditionalFormatting sqref="W41">
    <cfRule type="cellIs" dxfId="1618" priority="1510" stopIfTrue="1" operator="greaterThan">
      <formula>1.2</formula>
    </cfRule>
  </conditionalFormatting>
  <conditionalFormatting sqref="W42">
    <cfRule type="cellIs" dxfId="1617" priority="1509" stopIfTrue="1" operator="between">
      <formula>0.8</formula>
      <formula>1.2</formula>
    </cfRule>
  </conditionalFormatting>
  <conditionalFormatting sqref="W42">
    <cfRule type="cellIs" dxfId="1616" priority="1508" stopIfTrue="1" operator="lessThan">
      <formula>0.8</formula>
    </cfRule>
  </conditionalFormatting>
  <conditionalFormatting sqref="W42">
    <cfRule type="cellIs" dxfId="1615" priority="1507" stopIfTrue="1" operator="greaterThan">
      <formula>1.2</formula>
    </cfRule>
  </conditionalFormatting>
  <conditionalFormatting sqref="W43">
    <cfRule type="cellIs" dxfId="1614" priority="1506" stopIfTrue="1" operator="between">
      <formula>0.8</formula>
      <formula>1.2</formula>
    </cfRule>
  </conditionalFormatting>
  <conditionalFormatting sqref="W43">
    <cfRule type="cellIs" dxfId="1613" priority="1505" stopIfTrue="1" operator="lessThan">
      <formula>0.8</formula>
    </cfRule>
  </conditionalFormatting>
  <conditionalFormatting sqref="W43">
    <cfRule type="cellIs" dxfId="1612" priority="1504" stopIfTrue="1" operator="greaterThan">
      <formula>1.2</formula>
    </cfRule>
  </conditionalFormatting>
  <conditionalFormatting sqref="W44">
    <cfRule type="cellIs" dxfId="1611" priority="1503" stopIfTrue="1" operator="between">
      <formula>0.8</formula>
      <formula>1.2</formula>
    </cfRule>
  </conditionalFormatting>
  <conditionalFormatting sqref="W44">
    <cfRule type="cellIs" dxfId="1610" priority="1502" stopIfTrue="1" operator="lessThan">
      <formula>0.8</formula>
    </cfRule>
  </conditionalFormatting>
  <conditionalFormatting sqref="W44">
    <cfRule type="cellIs" dxfId="1609" priority="1501" stopIfTrue="1" operator="greaterThan">
      <formula>1.2</formula>
    </cfRule>
  </conditionalFormatting>
  <conditionalFormatting sqref="X25">
    <cfRule type="cellIs" dxfId="1608" priority="1500" stopIfTrue="1" operator="between">
      <formula>0.8</formula>
      <formula>1.2</formula>
    </cfRule>
  </conditionalFormatting>
  <conditionalFormatting sqref="X25">
    <cfRule type="cellIs" dxfId="1607" priority="1499" stopIfTrue="1" operator="lessThan">
      <formula>0.8</formula>
    </cfRule>
  </conditionalFormatting>
  <conditionalFormatting sqref="X25">
    <cfRule type="cellIs" dxfId="1606" priority="1498" stopIfTrue="1" operator="greaterThan">
      <formula>1.2</formula>
    </cfRule>
  </conditionalFormatting>
  <conditionalFormatting sqref="X26">
    <cfRule type="cellIs" dxfId="1605" priority="1497" stopIfTrue="1" operator="between">
      <formula>0.8</formula>
      <formula>1.2</formula>
    </cfRule>
  </conditionalFormatting>
  <conditionalFormatting sqref="X26">
    <cfRule type="cellIs" dxfId="1604" priority="1496" stopIfTrue="1" operator="lessThan">
      <formula>0.8</formula>
    </cfRule>
  </conditionalFormatting>
  <conditionalFormatting sqref="X26">
    <cfRule type="cellIs" dxfId="1603" priority="1495" stopIfTrue="1" operator="greaterThan">
      <formula>1.2</formula>
    </cfRule>
  </conditionalFormatting>
  <conditionalFormatting sqref="X27">
    <cfRule type="cellIs" dxfId="1602" priority="1494" stopIfTrue="1" operator="between">
      <formula>0.8</formula>
      <formula>1.2</formula>
    </cfRule>
  </conditionalFormatting>
  <conditionalFormatting sqref="X27">
    <cfRule type="cellIs" dxfId="1601" priority="1493" stopIfTrue="1" operator="lessThan">
      <formula>0.8</formula>
    </cfRule>
  </conditionalFormatting>
  <conditionalFormatting sqref="X27">
    <cfRule type="cellIs" dxfId="1600" priority="1492" stopIfTrue="1" operator="greaterThan">
      <formula>1.2</formula>
    </cfRule>
  </conditionalFormatting>
  <conditionalFormatting sqref="X28">
    <cfRule type="cellIs" dxfId="1599" priority="1491" stopIfTrue="1" operator="between">
      <formula>0.8</formula>
      <formula>1.2</formula>
    </cfRule>
  </conditionalFormatting>
  <conditionalFormatting sqref="X28">
    <cfRule type="cellIs" dxfId="1598" priority="1490" stopIfTrue="1" operator="lessThan">
      <formula>0.8</formula>
    </cfRule>
  </conditionalFormatting>
  <conditionalFormatting sqref="X28">
    <cfRule type="cellIs" dxfId="1597" priority="1489" stopIfTrue="1" operator="greaterThan">
      <formula>1.2</formula>
    </cfRule>
  </conditionalFormatting>
  <conditionalFormatting sqref="X29">
    <cfRule type="cellIs" dxfId="1596" priority="1488" stopIfTrue="1" operator="between">
      <formula>0.8</formula>
      <formula>1.2</formula>
    </cfRule>
  </conditionalFormatting>
  <conditionalFormatting sqref="X29">
    <cfRule type="cellIs" dxfId="1595" priority="1487" stopIfTrue="1" operator="lessThan">
      <formula>0.8</formula>
    </cfRule>
  </conditionalFormatting>
  <conditionalFormatting sqref="X29">
    <cfRule type="cellIs" dxfId="1594" priority="1486" stopIfTrue="1" operator="greaterThan">
      <formula>1.2</formula>
    </cfRule>
  </conditionalFormatting>
  <conditionalFormatting sqref="X30">
    <cfRule type="cellIs" dxfId="1593" priority="1485" stopIfTrue="1" operator="between">
      <formula>0.8</formula>
      <formula>1.2</formula>
    </cfRule>
  </conditionalFormatting>
  <conditionalFormatting sqref="X30">
    <cfRule type="cellIs" dxfId="1592" priority="1484" stopIfTrue="1" operator="lessThan">
      <formula>0.8</formula>
    </cfRule>
  </conditionalFormatting>
  <conditionalFormatting sqref="X30">
    <cfRule type="cellIs" dxfId="1591" priority="1483" stopIfTrue="1" operator="greaterThan">
      <formula>1.2</formula>
    </cfRule>
  </conditionalFormatting>
  <conditionalFormatting sqref="X31">
    <cfRule type="cellIs" dxfId="1590" priority="1482" stopIfTrue="1" operator="between">
      <formula>0.8</formula>
      <formula>1.2</formula>
    </cfRule>
  </conditionalFormatting>
  <conditionalFormatting sqref="X31">
    <cfRule type="cellIs" dxfId="1589" priority="1481" stopIfTrue="1" operator="lessThan">
      <formula>0.8</formula>
    </cfRule>
  </conditionalFormatting>
  <conditionalFormatting sqref="X31">
    <cfRule type="cellIs" dxfId="1588" priority="1480" stopIfTrue="1" operator="greaterThan">
      <formula>1.2</formula>
    </cfRule>
  </conditionalFormatting>
  <conditionalFormatting sqref="X32">
    <cfRule type="cellIs" dxfId="1587" priority="1479" stopIfTrue="1" operator="between">
      <formula>0.8</formula>
      <formula>1.2</formula>
    </cfRule>
  </conditionalFormatting>
  <conditionalFormatting sqref="X32">
    <cfRule type="cellIs" dxfId="1586" priority="1478" stopIfTrue="1" operator="lessThan">
      <formula>0.8</formula>
    </cfRule>
  </conditionalFormatting>
  <conditionalFormatting sqref="X32">
    <cfRule type="cellIs" dxfId="1585" priority="1477" stopIfTrue="1" operator="greaterThan">
      <formula>1.2</formula>
    </cfRule>
  </conditionalFormatting>
  <conditionalFormatting sqref="X33">
    <cfRule type="cellIs" dxfId="1584" priority="1476" stopIfTrue="1" operator="between">
      <formula>0.8</formula>
      <formula>1.2</formula>
    </cfRule>
  </conditionalFormatting>
  <conditionalFormatting sqref="X33">
    <cfRule type="cellIs" dxfId="1583" priority="1475" stopIfTrue="1" operator="lessThan">
      <formula>0.8</formula>
    </cfRule>
  </conditionalFormatting>
  <conditionalFormatting sqref="X33">
    <cfRule type="cellIs" dxfId="1582" priority="1474" stopIfTrue="1" operator="greaterThan">
      <formula>1.2</formula>
    </cfRule>
  </conditionalFormatting>
  <conditionalFormatting sqref="X34">
    <cfRule type="cellIs" dxfId="1581" priority="1473" stopIfTrue="1" operator="between">
      <formula>0.8</formula>
      <formula>1.2</formula>
    </cfRule>
  </conditionalFormatting>
  <conditionalFormatting sqref="X34">
    <cfRule type="cellIs" dxfId="1580" priority="1472" stopIfTrue="1" operator="lessThan">
      <formula>0.8</formula>
    </cfRule>
  </conditionalFormatting>
  <conditionalFormatting sqref="X34">
    <cfRule type="cellIs" dxfId="1579" priority="1471" stopIfTrue="1" operator="greaterThan">
      <formula>1.2</formula>
    </cfRule>
  </conditionalFormatting>
  <conditionalFormatting sqref="X35">
    <cfRule type="cellIs" dxfId="1578" priority="1470" stopIfTrue="1" operator="between">
      <formula>0.8</formula>
      <formula>1.2</formula>
    </cfRule>
  </conditionalFormatting>
  <conditionalFormatting sqref="X35">
    <cfRule type="cellIs" dxfId="1577" priority="1469" stopIfTrue="1" operator="lessThan">
      <formula>0.8</formula>
    </cfRule>
  </conditionalFormatting>
  <conditionalFormatting sqref="X35">
    <cfRule type="cellIs" dxfId="1576" priority="1468" stopIfTrue="1" operator="greaterThan">
      <formula>1.2</formula>
    </cfRule>
  </conditionalFormatting>
  <conditionalFormatting sqref="X36">
    <cfRule type="cellIs" dxfId="1575" priority="1467" stopIfTrue="1" operator="between">
      <formula>0.8</formula>
      <formula>1.2</formula>
    </cfRule>
  </conditionalFormatting>
  <conditionalFormatting sqref="X36">
    <cfRule type="cellIs" dxfId="1574" priority="1466" stopIfTrue="1" operator="lessThan">
      <formula>0.8</formula>
    </cfRule>
  </conditionalFormatting>
  <conditionalFormatting sqref="X36">
    <cfRule type="cellIs" dxfId="1573" priority="1465" stopIfTrue="1" operator="greaterThan">
      <formula>1.2</formula>
    </cfRule>
  </conditionalFormatting>
  <conditionalFormatting sqref="X37">
    <cfRule type="cellIs" dxfId="1572" priority="1464" stopIfTrue="1" operator="between">
      <formula>0.8</formula>
      <formula>1.2</formula>
    </cfRule>
  </conditionalFormatting>
  <conditionalFormatting sqref="X37">
    <cfRule type="cellIs" dxfId="1571" priority="1463" stopIfTrue="1" operator="lessThan">
      <formula>0.8</formula>
    </cfRule>
  </conditionalFormatting>
  <conditionalFormatting sqref="X37">
    <cfRule type="cellIs" dxfId="1570" priority="1462" stopIfTrue="1" operator="greaterThan">
      <formula>1.2</formula>
    </cfRule>
  </conditionalFormatting>
  <conditionalFormatting sqref="X38">
    <cfRule type="cellIs" dxfId="1569" priority="1461" stopIfTrue="1" operator="between">
      <formula>0.8</formula>
      <formula>1.2</formula>
    </cfRule>
  </conditionalFormatting>
  <conditionalFormatting sqref="X38">
    <cfRule type="cellIs" dxfId="1568" priority="1460" stopIfTrue="1" operator="lessThan">
      <formula>0.8</formula>
    </cfRule>
  </conditionalFormatting>
  <conditionalFormatting sqref="X38">
    <cfRule type="cellIs" dxfId="1567" priority="1459" stopIfTrue="1" operator="greaterThan">
      <formula>1.2</formula>
    </cfRule>
  </conditionalFormatting>
  <conditionalFormatting sqref="X39">
    <cfRule type="cellIs" dxfId="1566" priority="1458" stopIfTrue="1" operator="between">
      <formula>0.8</formula>
      <formula>1.2</formula>
    </cfRule>
  </conditionalFormatting>
  <conditionalFormatting sqref="X39">
    <cfRule type="cellIs" dxfId="1565" priority="1457" stopIfTrue="1" operator="lessThan">
      <formula>0.8</formula>
    </cfRule>
  </conditionalFormatting>
  <conditionalFormatting sqref="X39">
    <cfRule type="cellIs" dxfId="1564" priority="1456" stopIfTrue="1" operator="greaterThan">
      <formula>1.2</formula>
    </cfRule>
  </conditionalFormatting>
  <conditionalFormatting sqref="X40">
    <cfRule type="cellIs" dxfId="1563" priority="1455" stopIfTrue="1" operator="between">
      <formula>0.8</formula>
      <formula>1.2</formula>
    </cfRule>
  </conditionalFormatting>
  <conditionalFormatting sqref="X40">
    <cfRule type="cellIs" dxfId="1562" priority="1454" stopIfTrue="1" operator="lessThan">
      <formula>0.8</formula>
    </cfRule>
  </conditionalFormatting>
  <conditionalFormatting sqref="X40">
    <cfRule type="cellIs" dxfId="1561" priority="1453" stopIfTrue="1" operator="greaterThan">
      <formula>1.2</formula>
    </cfRule>
  </conditionalFormatting>
  <conditionalFormatting sqref="X41">
    <cfRule type="cellIs" dxfId="1560" priority="1452" stopIfTrue="1" operator="between">
      <formula>0.8</formula>
      <formula>1.2</formula>
    </cfRule>
  </conditionalFormatting>
  <conditionalFormatting sqref="X41">
    <cfRule type="cellIs" dxfId="1559" priority="1451" stopIfTrue="1" operator="lessThan">
      <formula>0.8</formula>
    </cfRule>
  </conditionalFormatting>
  <conditionalFormatting sqref="X41">
    <cfRule type="cellIs" dxfId="1558" priority="1450" stopIfTrue="1" operator="greaterThan">
      <formula>1.2</formula>
    </cfRule>
  </conditionalFormatting>
  <conditionalFormatting sqref="X42">
    <cfRule type="cellIs" dxfId="1557" priority="1449" stopIfTrue="1" operator="between">
      <formula>0.8</formula>
      <formula>1.2</formula>
    </cfRule>
  </conditionalFormatting>
  <conditionalFormatting sqref="X42">
    <cfRule type="cellIs" dxfId="1556" priority="1448" stopIfTrue="1" operator="lessThan">
      <formula>0.8</formula>
    </cfRule>
  </conditionalFormatting>
  <conditionalFormatting sqref="X42">
    <cfRule type="cellIs" dxfId="1555" priority="1447" stopIfTrue="1" operator="greaterThan">
      <formula>1.2</formula>
    </cfRule>
  </conditionalFormatting>
  <conditionalFormatting sqref="X43">
    <cfRule type="cellIs" dxfId="1554" priority="1446" stopIfTrue="1" operator="between">
      <formula>0.8</formula>
      <formula>1.2</formula>
    </cfRule>
  </conditionalFormatting>
  <conditionalFormatting sqref="X43">
    <cfRule type="cellIs" dxfId="1553" priority="1445" stopIfTrue="1" operator="lessThan">
      <formula>0.8</formula>
    </cfRule>
  </conditionalFormatting>
  <conditionalFormatting sqref="X43">
    <cfRule type="cellIs" dxfId="1552" priority="1444" stopIfTrue="1" operator="greaterThan">
      <formula>1.2</formula>
    </cfRule>
  </conditionalFormatting>
  <conditionalFormatting sqref="X44">
    <cfRule type="cellIs" dxfId="1551" priority="1443" stopIfTrue="1" operator="between">
      <formula>0.8</formula>
      <formula>1.2</formula>
    </cfRule>
  </conditionalFormatting>
  <conditionalFormatting sqref="X44">
    <cfRule type="cellIs" dxfId="1550" priority="1442" stopIfTrue="1" operator="lessThan">
      <formula>0.8</formula>
    </cfRule>
  </conditionalFormatting>
  <conditionalFormatting sqref="X44">
    <cfRule type="cellIs" dxfId="1549" priority="1441" stopIfTrue="1" operator="greaterThan">
      <formula>1.2</formula>
    </cfRule>
  </conditionalFormatting>
  <conditionalFormatting sqref="Y25">
    <cfRule type="cellIs" dxfId="1548" priority="1440" stopIfTrue="1" operator="between">
      <formula>0.8</formula>
      <formula>1.2</formula>
    </cfRule>
  </conditionalFormatting>
  <conditionalFormatting sqref="Y25">
    <cfRule type="cellIs" dxfId="1547" priority="1439" stopIfTrue="1" operator="lessThan">
      <formula>0.8</formula>
    </cfRule>
  </conditionalFormatting>
  <conditionalFormatting sqref="Y25">
    <cfRule type="cellIs" dxfId="1546" priority="1438" stopIfTrue="1" operator="greaterThan">
      <formula>1.2</formula>
    </cfRule>
  </conditionalFormatting>
  <conditionalFormatting sqref="Y26">
    <cfRule type="cellIs" dxfId="1545" priority="1437" stopIfTrue="1" operator="between">
      <formula>0.8</formula>
      <formula>1.2</formula>
    </cfRule>
  </conditionalFormatting>
  <conditionalFormatting sqref="Y26">
    <cfRule type="cellIs" dxfId="1544" priority="1436" stopIfTrue="1" operator="lessThan">
      <formula>0.8</formula>
    </cfRule>
  </conditionalFormatting>
  <conditionalFormatting sqref="Y26">
    <cfRule type="cellIs" dxfId="1543" priority="1435" stopIfTrue="1" operator="greaterThan">
      <formula>1.2</formula>
    </cfRule>
  </conditionalFormatting>
  <conditionalFormatting sqref="Y27">
    <cfRule type="cellIs" dxfId="1542" priority="1434" stopIfTrue="1" operator="between">
      <formula>0.8</formula>
      <formula>1.2</formula>
    </cfRule>
  </conditionalFormatting>
  <conditionalFormatting sqref="Y27">
    <cfRule type="cellIs" dxfId="1541" priority="1433" stopIfTrue="1" operator="lessThan">
      <formula>0.8</formula>
    </cfRule>
  </conditionalFormatting>
  <conditionalFormatting sqref="Y27">
    <cfRule type="cellIs" dxfId="1540" priority="1432" stopIfTrue="1" operator="greaterThan">
      <formula>1.2</formula>
    </cfRule>
  </conditionalFormatting>
  <conditionalFormatting sqref="Y28">
    <cfRule type="cellIs" dxfId="1539" priority="1431" stopIfTrue="1" operator="between">
      <formula>0.8</formula>
      <formula>1.2</formula>
    </cfRule>
  </conditionalFormatting>
  <conditionalFormatting sqref="Y28">
    <cfRule type="cellIs" dxfId="1538" priority="1430" stopIfTrue="1" operator="lessThan">
      <formula>0.8</formula>
    </cfRule>
  </conditionalFormatting>
  <conditionalFormatting sqref="Y28">
    <cfRule type="cellIs" dxfId="1537" priority="1429" stopIfTrue="1" operator="greaterThan">
      <formula>1.2</formula>
    </cfRule>
  </conditionalFormatting>
  <conditionalFormatting sqref="Y29">
    <cfRule type="cellIs" dxfId="1536" priority="1428" stopIfTrue="1" operator="between">
      <formula>0.8</formula>
      <formula>1.2</formula>
    </cfRule>
  </conditionalFormatting>
  <conditionalFormatting sqref="Y29">
    <cfRule type="cellIs" dxfId="1535" priority="1427" stopIfTrue="1" operator="lessThan">
      <formula>0.8</formula>
    </cfRule>
  </conditionalFormatting>
  <conditionalFormatting sqref="Y29">
    <cfRule type="cellIs" dxfId="1534" priority="1426" stopIfTrue="1" operator="greaterThan">
      <formula>1.2</formula>
    </cfRule>
  </conditionalFormatting>
  <conditionalFormatting sqref="Y30">
    <cfRule type="cellIs" dxfId="1533" priority="1425" stopIfTrue="1" operator="between">
      <formula>0.8</formula>
      <formula>1.2</formula>
    </cfRule>
  </conditionalFormatting>
  <conditionalFormatting sqref="Y30">
    <cfRule type="cellIs" dxfId="1532" priority="1424" stopIfTrue="1" operator="lessThan">
      <formula>0.8</formula>
    </cfRule>
  </conditionalFormatting>
  <conditionalFormatting sqref="Y30">
    <cfRule type="cellIs" dxfId="1531" priority="1423" stopIfTrue="1" operator="greaterThan">
      <formula>1.2</formula>
    </cfRule>
  </conditionalFormatting>
  <conditionalFormatting sqref="Y31">
    <cfRule type="cellIs" dxfId="1530" priority="1422" stopIfTrue="1" operator="between">
      <formula>0.8</formula>
      <formula>1.2</formula>
    </cfRule>
  </conditionalFormatting>
  <conditionalFormatting sqref="Y31">
    <cfRule type="cellIs" dxfId="1529" priority="1421" stopIfTrue="1" operator="lessThan">
      <formula>0.8</formula>
    </cfRule>
  </conditionalFormatting>
  <conditionalFormatting sqref="Y31">
    <cfRule type="cellIs" dxfId="1528" priority="1420" stopIfTrue="1" operator="greaterThan">
      <formula>1.2</formula>
    </cfRule>
  </conditionalFormatting>
  <conditionalFormatting sqref="Y32">
    <cfRule type="cellIs" dxfId="1527" priority="1419" stopIfTrue="1" operator="between">
      <formula>0.8</formula>
      <formula>1.2</formula>
    </cfRule>
  </conditionalFormatting>
  <conditionalFormatting sqref="Y32">
    <cfRule type="cellIs" dxfId="1526" priority="1418" stopIfTrue="1" operator="lessThan">
      <formula>0.8</formula>
    </cfRule>
  </conditionalFormatting>
  <conditionalFormatting sqref="Y32">
    <cfRule type="cellIs" dxfId="1525" priority="1417" stopIfTrue="1" operator="greaterThan">
      <formula>1.2</formula>
    </cfRule>
  </conditionalFormatting>
  <conditionalFormatting sqref="Y33">
    <cfRule type="cellIs" dxfId="1524" priority="1416" stopIfTrue="1" operator="between">
      <formula>0.8</formula>
      <formula>1.2</formula>
    </cfRule>
  </conditionalFormatting>
  <conditionalFormatting sqref="Y33">
    <cfRule type="cellIs" dxfId="1523" priority="1415" stopIfTrue="1" operator="lessThan">
      <formula>0.8</formula>
    </cfRule>
  </conditionalFormatting>
  <conditionalFormatting sqref="Y33">
    <cfRule type="cellIs" dxfId="1522" priority="1414" stopIfTrue="1" operator="greaterThan">
      <formula>1.2</formula>
    </cfRule>
  </conditionalFormatting>
  <conditionalFormatting sqref="Y34">
    <cfRule type="cellIs" dxfId="1521" priority="1413" stopIfTrue="1" operator="between">
      <formula>0.8</formula>
      <formula>1.2</formula>
    </cfRule>
  </conditionalFormatting>
  <conditionalFormatting sqref="Y34">
    <cfRule type="cellIs" dxfId="1520" priority="1412" stopIfTrue="1" operator="lessThan">
      <formula>0.8</formula>
    </cfRule>
  </conditionalFormatting>
  <conditionalFormatting sqref="Y34">
    <cfRule type="cellIs" dxfId="1519" priority="1411" stopIfTrue="1" operator="greaterThan">
      <formula>1.2</formula>
    </cfRule>
  </conditionalFormatting>
  <conditionalFormatting sqref="Y35">
    <cfRule type="cellIs" dxfId="1518" priority="1410" stopIfTrue="1" operator="between">
      <formula>0.8</formula>
      <formula>1.2</formula>
    </cfRule>
  </conditionalFormatting>
  <conditionalFormatting sqref="Y35">
    <cfRule type="cellIs" dxfId="1517" priority="1409" stopIfTrue="1" operator="lessThan">
      <formula>0.8</formula>
    </cfRule>
  </conditionalFormatting>
  <conditionalFormatting sqref="Y35">
    <cfRule type="cellIs" dxfId="1516" priority="1408" stopIfTrue="1" operator="greaterThan">
      <formula>1.2</formula>
    </cfRule>
  </conditionalFormatting>
  <conditionalFormatting sqref="Y36">
    <cfRule type="cellIs" dxfId="1515" priority="1407" stopIfTrue="1" operator="between">
      <formula>0.8</formula>
      <formula>1.2</formula>
    </cfRule>
  </conditionalFormatting>
  <conditionalFormatting sqref="Y36">
    <cfRule type="cellIs" dxfId="1514" priority="1406" stopIfTrue="1" operator="lessThan">
      <formula>0.8</formula>
    </cfRule>
  </conditionalFormatting>
  <conditionalFormatting sqref="Y36">
    <cfRule type="cellIs" dxfId="1513" priority="1405" stopIfTrue="1" operator="greaterThan">
      <formula>1.2</formula>
    </cfRule>
  </conditionalFormatting>
  <conditionalFormatting sqref="Y37">
    <cfRule type="cellIs" dxfId="1512" priority="1404" stopIfTrue="1" operator="between">
      <formula>0.8</formula>
      <formula>1.2</formula>
    </cfRule>
  </conditionalFormatting>
  <conditionalFormatting sqref="Y37">
    <cfRule type="cellIs" dxfId="1511" priority="1403" stopIfTrue="1" operator="lessThan">
      <formula>0.8</formula>
    </cfRule>
  </conditionalFormatting>
  <conditionalFormatting sqref="Y37">
    <cfRule type="cellIs" dxfId="1510" priority="1402" stopIfTrue="1" operator="greaterThan">
      <formula>1.2</formula>
    </cfRule>
  </conditionalFormatting>
  <conditionalFormatting sqref="Y38">
    <cfRule type="cellIs" dxfId="1509" priority="1401" stopIfTrue="1" operator="between">
      <formula>0.8</formula>
      <formula>1.2</formula>
    </cfRule>
  </conditionalFormatting>
  <conditionalFormatting sqref="Y38">
    <cfRule type="cellIs" dxfId="1508" priority="1400" stopIfTrue="1" operator="lessThan">
      <formula>0.8</formula>
    </cfRule>
  </conditionalFormatting>
  <conditionalFormatting sqref="Y38">
    <cfRule type="cellIs" dxfId="1507" priority="1399" stopIfTrue="1" operator="greaterThan">
      <formula>1.2</formula>
    </cfRule>
  </conditionalFormatting>
  <conditionalFormatting sqref="Y39">
    <cfRule type="cellIs" dxfId="1506" priority="1398" stopIfTrue="1" operator="between">
      <formula>0.8</formula>
      <formula>1.2</formula>
    </cfRule>
  </conditionalFormatting>
  <conditionalFormatting sqref="Y39">
    <cfRule type="cellIs" dxfId="1505" priority="1397" stopIfTrue="1" operator="lessThan">
      <formula>0.8</formula>
    </cfRule>
  </conditionalFormatting>
  <conditionalFormatting sqref="Y39">
    <cfRule type="cellIs" dxfId="1504" priority="1396" stopIfTrue="1" operator="greaterThan">
      <formula>1.2</formula>
    </cfRule>
  </conditionalFormatting>
  <conditionalFormatting sqref="Y40">
    <cfRule type="cellIs" dxfId="1503" priority="1395" stopIfTrue="1" operator="between">
      <formula>0.8</formula>
      <formula>1.2</formula>
    </cfRule>
  </conditionalFormatting>
  <conditionalFormatting sqref="Y40">
    <cfRule type="cellIs" dxfId="1502" priority="1394" stopIfTrue="1" operator="lessThan">
      <formula>0.8</formula>
    </cfRule>
  </conditionalFormatting>
  <conditionalFormatting sqref="Y40">
    <cfRule type="cellIs" dxfId="1501" priority="1393" stopIfTrue="1" operator="greaterThan">
      <formula>1.2</formula>
    </cfRule>
  </conditionalFormatting>
  <conditionalFormatting sqref="Y41">
    <cfRule type="cellIs" dxfId="1500" priority="1392" stopIfTrue="1" operator="between">
      <formula>0.8</formula>
      <formula>1.2</formula>
    </cfRule>
  </conditionalFormatting>
  <conditionalFormatting sqref="Y41">
    <cfRule type="cellIs" dxfId="1499" priority="1391" stopIfTrue="1" operator="lessThan">
      <formula>0.8</formula>
    </cfRule>
  </conditionalFormatting>
  <conditionalFormatting sqref="Y41">
    <cfRule type="cellIs" dxfId="1498" priority="1390" stopIfTrue="1" operator="greaterThan">
      <formula>1.2</formula>
    </cfRule>
  </conditionalFormatting>
  <conditionalFormatting sqref="Y42">
    <cfRule type="cellIs" dxfId="1497" priority="1389" stopIfTrue="1" operator="between">
      <formula>0.8</formula>
      <formula>1.2</formula>
    </cfRule>
  </conditionalFormatting>
  <conditionalFormatting sqref="Y42">
    <cfRule type="cellIs" dxfId="1496" priority="1388" stopIfTrue="1" operator="lessThan">
      <formula>0.8</formula>
    </cfRule>
  </conditionalFormatting>
  <conditionalFormatting sqref="Y42">
    <cfRule type="cellIs" dxfId="1495" priority="1387" stopIfTrue="1" operator="greaterThan">
      <formula>1.2</formula>
    </cfRule>
  </conditionalFormatting>
  <conditionalFormatting sqref="Y43">
    <cfRule type="cellIs" dxfId="1494" priority="1386" stopIfTrue="1" operator="between">
      <formula>0.8</formula>
      <formula>1.2</formula>
    </cfRule>
  </conditionalFormatting>
  <conditionalFormatting sqref="Y43">
    <cfRule type="cellIs" dxfId="1493" priority="1385" stopIfTrue="1" operator="lessThan">
      <formula>0.8</formula>
    </cfRule>
  </conditionalFormatting>
  <conditionalFormatting sqref="Y43">
    <cfRule type="cellIs" dxfId="1492" priority="1384" stopIfTrue="1" operator="greaterThan">
      <formula>1.2</formula>
    </cfRule>
  </conditionalFormatting>
  <conditionalFormatting sqref="Y44">
    <cfRule type="cellIs" dxfId="1491" priority="1383" stopIfTrue="1" operator="between">
      <formula>0.8</formula>
      <formula>1.2</formula>
    </cfRule>
  </conditionalFormatting>
  <conditionalFormatting sqref="Y44">
    <cfRule type="cellIs" dxfId="1490" priority="1382" stopIfTrue="1" operator="lessThan">
      <formula>0.8</formula>
    </cfRule>
  </conditionalFormatting>
  <conditionalFormatting sqref="Y44">
    <cfRule type="cellIs" dxfId="1489" priority="1381" stopIfTrue="1" operator="greaterThan">
      <formula>1.2</formula>
    </cfRule>
  </conditionalFormatting>
  <conditionalFormatting sqref="Z25">
    <cfRule type="cellIs" dxfId="1488" priority="1380" stopIfTrue="1" operator="between">
      <formula>0.8</formula>
      <formula>1.2</formula>
    </cfRule>
  </conditionalFormatting>
  <conditionalFormatting sqref="Z25">
    <cfRule type="cellIs" dxfId="1487" priority="1379" stopIfTrue="1" operator="lessThan">
      <formula>0.8</formula>
    </cfRule>
  </conditionalFormatting>
  <conditionalFormatting sqref="Z25">
    <cfRule type="cellIs" dxfId="1486" priority="1378" stopIfTrue="1" operator="greaterThan">
      <formula>1.2</formula>
    </cfRule>
  </conditionalFormatting>
  <conditionalFormatting sqref="Z26">
    <cfRule type="cellIs" dxfId="1485" priority="1377" stopIfTrue="1" operator="between">
      <formula>0.8</formula>
      <formula>1.2</formula>
    </cfRule>
  </conditionalFormatting>
  <conditionalFormatting sqref="Z26">
    <cfRule type="cellIs" dxfId="1484" priority="1376" stopIfTrue="1" operator="lessThan">
      <formula>0.8</formula>
    </cfRule>
  </conditionalFormatting>
  <conditionalFormatting sqref="Z26">
    <cfRule type="cellIs" dxfId="1483" priority="1375" stopIfTrue="1" operator="greaterThan">
      <formula>1.2</formula>
    </cfRule>
  </conditionalFormatting>
  <conditionalFormatting sqref="Z27">
    <cfRule type="cellIs" dxfId="1482" priority="1374" stopIfTrue="1" operator="between">
      <formula>0.8</formula>
      <formula>1.2</formula>
    </cfRule>
  </conditionalFormatting>
  <conditionalFormatting sqref="Z27">
    <cfRule type="cellIs" dxfId="1481" priority="1373" stopIfTrue="1" operator="lessThan">
      <formula>0.8</formula>
    </cfRule>
  </conditionalFormatting>
  <conditionalFormatting sqref="Z27">
    <cfRule type="cellIs" dxfId="1480" priority="1372" stopIfTrue="1" operator="greaterThan">
      <formula>1.2</formula>
    </cfRule>
  </conditionalFormatting>
  <conditionalFormatting sqref="Z28">
    <cfRule type="cellIs" dxfId="1479" priority="1371" stopIfTrue="1" operator="between">
      <formula>0.8</formula>
      <formula>1.2</formula>
    </cfRule>
  </conditionalFormatting>
  <conditionalFormatting sqref="Z28">
    <cfRule type="cellIs" dxfId="1478" priority="1370" stopIfTrue="1" operator="lessThan">
      <formula>0.8</formula>
    </cfRule>
  </conditionalFormatting>
  <conditionalFormatting sqref="Z28">
    <cfRule type="cellIs" dxfId="1477" priority="1369" stopIfTrue="1" operator="greaterThan">
      <formula>1.2</formula>
    </cfRule>
  </conditionalFormatting>
  <conditionalFormatting sqref="Z29">
    <cfRule type="cellIs" dxfId="1476" priority="1368" stopIfTrue="1" operator="between">
      <formula>0.8</formula>
      <formula>1.2</formula>
    </cfRule>
  </conditionalFormatting>
  <conditionalFormatting sqref="Z29">
    <cfRule type="cellIs" dxfId="1475" priority="1367" stopIfTrue="1" operator="lessThan">
      <formula>0.8</formula>
    </cfRule>
  </conditionalFormatting>
  <conditionalFormatting sqref="Z29">
    <cfRule type="cellIs" dxfId="1474" priority="1366" stopIfTrue="1" operator="greaterThan">
      <formula>1.2</formula>
    </cfRule>
  </conditionalFormatting>
  <conditionalFormatting sqref="Z30">
    <cfRule type="cellIs" dxfId="1473" priority="1365" stopIfTrue="1" operator="between">
      <formula>0.8</formula>
      <formula>1.2</formula>
    </cfRule>
  </conditionalFormatting>
  <conditionalFormatting sqref="Z30">
    <cfRule type="cellIs" dxfId="1472" priority="1364" stopIfTrue="1" operator="lessThan">
      <formula>0.8</formula>
    </cfRule>
  </conditionalFormatting>
  <conditionalFormatting sqref="Z30">
    <cfRule type="cellIs" dxfId="1471" priority="1363" stopIfTrue="1" operator="greaterThan">
      <formula>1.2</formula>
    </cfRule>
  </conditionalFormatting>
  <conditionalFormatting sqref="Z31">
    <cfRule type="cellIs" dxfId="1470" priority="1362" stopIfTrue="1" operator="between">
      <formula>0.8</formula>
      <formula>1.2</formula>
    </cfRule>
  </conditionalFormatting>
  <conditionalFormatting sqref="Z31">
    <cfRule type="cellIs" dxfId="1469" priority="1361" stopIfTrue="1" operator="lessThan">
      <formula>0.8</formula>
    </cfRule>
  </conditionalFormatting>
  <conditionalFormatting sqref="Z31">
    <cfRule type="cellIs" dxfId="1468" priority="1360" stopIfTrue="1" operator="greaterThan">
      <formula>1.2</formula>
    </cfRule>
  </conditionalFormatting>
  <conditionalFormatting sqref="Z32">
    <cfRule type="cellIs" dxfId="1467" priority="1359" stopIfTrue="1" operator="between">
      <formula>0.8</formula>
      <formula>1.2</formula>
    </cfRule>
  </conditionalFormatting>
  <conditionalFormatting sqref="Z32">
    <cfRule type="cellIs" dxfId="1466" priority="1358" stopIfTrue="1" operator="lessThan">
      <formula>0.8</formula>
    </cfRule>
  </conditionalFormatting>
  <conditionalFormatting sqref="Z32">
    <cfRule type="cellIs" dxfId="1465" priority="1357" stopIfTrue="1" operator="greaterThan">
      <formula>1.2</formula>
    </cfRule>
  </conditionalFormatting>
  <conditionalFormatting sqref="Z33">
    <cfRule type="cellIs" dxfId="1464" priority="1356" stopIfTrue="1" operator="between">
      <formula>0.8</formula>
      <formula>1.2</formula>
    </cfRule>
  </conditionalFormatting>
  <conditionalFormatting sqref="Z33">
    <cfRule type="cellIs" dxfId="1463" priority="1355" stopIfTrue="1" operator="lessThan">
      <formula>0.8</formula>
    </cfRule>
  </conditionalFormatting>
  <conditionalFormatting sqref="Z33">
    <cfRule type="cellIs" dxfId="1462" priority="1354" stopIfTrue="1" operator="greaterThan">
      <formula>1.2</formula>
    </cfRule>
  </conditionalFormatting>
  <conditionalFormatting sqref="Z34">
    <cfRule type="cellIs" dxfId="1461" priority="1353" stopIfTrue="1" operator="between">
      <formula>0.8</formula>
      <formula>1.2</formula>
    </cfRule>
  </conditionalFormatting>
  <conditionalFormatting sqref="Z34">
    <cfRule type="cellIs" dxfId="1460" priority="1352" stopIfTrue="1" operator="lessThan">
      <formula>0.8</formula>
    </cfRule>
  </conditionalFormatting>
  <conditionalFormatting sqref="Z34">
    <cfRule type="cellIs" dxfId="1459" priority="1351" stopIfTrue="1" operator="greaterThan">
      <formula>1.2</formula>
    </cfRule>
  </conditionalFormatting>
  <conditionalFormatting sqref="Z35">
    <cfRule type="cellIs" dxfId="1458" priority="1350" stopIfTrue="1" operator="between">
      <formula>0.8</formula>
      <formula>1.2</formula>
    </cfRule>
  </conditionalFormatting>
  <conditionalFormatting sqref="Z35">
    <cfRule type="cellIs" dxfId="1457" priority="1349" stopIfTrue="1" operator="lessThan">
      <formula>0.8</formula>
    </cfRule>
  </conditionalFormatting>
  <conditionalFormatting sqref="Z35">
    <cfRule type="cellIs" dxfId="1456" priority="1348" stopIfTrue="1" operator="greaterThan">
      <formula>1.2</formula>
    </cfRule>
  </conditionalFormatting>
  <conditionalFormatting sqref="Z36">
    <cfRule type="cellIs" dxfId="1455" priority="1347" stopIfTrue="1" operator="between">
      <formula>0.8</formula>
      <formula>1.2</formula>
    </cfRule>
  </conditionalFormatting>
  <conditionalFormatting sqref="Z36">
    <cfRule type="cellIs" dxfId="1454" priority="1346" stopIfTrue="1" operator="lessThan">
      <formula>0.8</formula>
    </cfRule>
  </conditionalFormatting>
  <conditionalFormatting sqref="Z36">
    <cfRule type="cellIs" dxfId="1453" priority="1345" stopIfTrue="1" operator="greaterThan">
      <formula>1.2</formula>
    </cfRule>
  </conditionalFormatting>
  <conditionalFormatting sqref="Z37">
    <cfRule type="cellIs" dxfId="1452" priority="1344" stopIfTrue="1" operator="between">
      <formula>0.8</formula>
      <formula>1.2</formula>
    </cfRule>
  </conditionalFormatting>
  <conditionalFormatting sqref="Z37">
    <cfRule type="cellIs" dxfId="1451" priority="1343" stopIfTrue="1" operator="lessThan">
      <formula>0.8</formula>
    </cfRule>
  </conditionalFormatting>
  <conditionalFormatting sqref="Z37">
    <cfRule type="cellIs" dxfId="1450" priority="1342" stopIfTrue="1" operator="greaterThan">
      <formula>1.2</formula>
    </cfRule>
  </conditionalFormatting>
  <conditionalFormatting sqref="Z38">
    <cfRule type="cellIs" dxfId="1449" priority="1341" stopIfTrue="1" operator="between">
      <formula>0.8</formula>
      <formula>1.2</formula>
    </cfRule>
  </conditionalFormatting>
  <conditionalFormatting sqref="Z38">
    <cfRule type="cellIs" dxfId="1448" priority="1340" stopIfTrue="1" operator="lessThan">
      <formula>0.8</formula>
    </cfRule>
  </conditionalFormatting>
  <conditionalFormatting sqref="Z38">
    <cfRule type="cellIs" dxfId="1447" priority="1339" stopIfTrue="1" operator="greaterThan">
      <formula>1.2</formula>
    </cfRule>
  </conditionalFormatting>
  <conditionalFormatting sqref="Z39">
    <cfRule type="cellIs" dxfId="1446" priority="1338" stopIfTrue="1" operator="between">
      <formula>0.8</formula>
      <formula>1.2</formula>
    </cfRule>
  </conditionalFormatting>
  <conditionalFormatting sqref="Z39">
    <cfRule type="cellIs" dxfId="1445" priority="1337" stopIfTrue="1" operator="lessThan">
      <formula>0.8</formula>
    </cfRule>
  </conditionalFormatting>
  <conditionalFormatting sqref="Z39">
    <cfRule type="cellIs" dxfId="1444" priority="1336" stopIfTrue="1" operator="greaterThan">
      <formula>1.2</formula>
    </cfRule>
  </conditionalFormatting>
  <conditionalFormatting sqref="Z40">
    <cfRule type="cellIs" dxfId="1443" priority="1335" stopIfTrue="1" operator="between">
      <formula>0.8</formula>
      <formula>1.2</formula>
    </cfRule>
  </conditionalFormatting>
  <conditionalFormatting sqref="Z40">
    <cfRule type="cellIs" dxfId="1442" priority="1334" stopIfTrue="1" operator="lessThan">
      <formula>0.8</formula>
    </cfRule>
  </conditionalFormatting>
  <conditionalFormatting sqref="Z40">
    <cfRule type="cellIs" dxfId="1441" priority="1333" stopIfTrue="1" operator="greaterThan">
      <formula>1.2</formula>
    </cfRule>
  </conditionalFormatting>
  <conditionalFormatting sqref="Z41">
    <cfRule type="cellIs" dxfId="1440" priority="1332" stopIfTrue="1" operator="between">
      <formula>0.8</formula>
      <formula>1.2</formula>
    </cfRule>
  </conditionalFormatting>
  <conditionalFormatting sqref="Z41">
    <cfRule type="cellIs" dxfId="1439" priority="1331" stopIfTrue="1" operator="lessThan">
      <formula>0.8</formula>
    </cfRule>
  </conditionalFormatting>
  <conditionalFormatting sqref="Z41">
    <cfRule type="cellIs" dxfId="1438" priority="1330" stopIfTrue="1" operator="greaterThan">
      <formula>1.2</formula>
    </cfRule>
  </conditionalFormatting>
  <conditionalFormatting sqref="Z42">
    <cfRule type="cellIs" dxfId="1437" priority="1329" stopIfTrue="1" operator="between">
      <formula>0.8</formula>
      <formula>1.2</formula>
    </cfRule>
  </conditionalFormatting>
  <conditionalFormatting sqref="Z42">
    <cfRule type="cellIs" dxfId="1436" priority="1328" stopIfTrue="1" operator="lessThan">
      <formula>0.8</formula>
    </cfRule>
  </conditionalFormatting>
  <conditionalFormatting sqref="Z42">
    <cfRule type="cellIs" dxfId="1435" priority="1327" stopIfTrue="1" operator="greaterThan">
      <formula>1.2</formula>
    </cfRule>
  </conditionalFormatting>
  <conditionalFormatting sqref="Z43">
    <cfRule type="cellIs" dxfId="1434" priority="1326" stopIfTrue="1" operator="between">
      <formula>0.8</formula>
      <formula>1.2</formula>
    </cfRule>
  </conditionalFormatting>
  <conditionalFormatting sqref="Z43">
    <cfRule type="cellIs" dxfId="1433" priority="1325" stopIfTrue="1" operator="lessThan">
      <formula>0.8</formula>
    </cfRule>
  </conditionalFormatting>
  <conditionalFormatting sqref="Z43">
    <cfRule type="cellIs" dxfId="1432" priority="1324" stopIfTrue="1" operator="greaterThan">
      <formula>1.2</formula>
    </cfRule>
  </conditionalFormatting>
  <conditionalFormatting sqref="Z44">
    <cfRule type="cellIs" dxfId="1431" priority="1323" stopIfTrue="1" operator="between">
      <formula>0.8</formula>
      <formula>1.2</formula>
    </cfRule>
  </conditionalFormatting>
  <conditionalFormatting sqref="Z44">
    <cfRule type="cellIs" dxfId="1430" priority="1322" stopIfTrue="1" operator="lessThan">
      <formula>0.8</formula>
    </cfRule>
  </conditionalFormatting>
  <conditionalFormatting sqref="Z44">
    <cfRule type="cellIs" dxfId="1429" priority="1321" stopIfTrue="1" operator="greaterThan">
      <formula>1.2</formula>
    </cfRule>
  </conditionalFormatting>
  <conditionalFormatting sqref="AA25">
    <cfRule type="cellIs" dxfId="1428" priority="1320" stopIfTrue="1" operator="between">
      <formula>0.8</formula>
      <formula>1.2</formula>
    </cfRule>
  </conditionalFormatting>
  <conditionalFormatting sqref="AA25">
    <cfRule type="cellIs" dxfId="1427" priority="1319" stopIfTrue="1" operator="lessThan">
      <formula>0.8</formula>
    </cfRule>
  </conditionalFormatting>
  <conditionalFormatting sqref="AA25">
    <cfRule type="cellIs" dxfId="1426" priority="1318" stopIfTrue="1" operator="greaterThan">
      <formula>1.2</formula>
    </cfRule>
  </conditionalFormatting>
  <conditionalFormatting sqref="AA26">
    <cfRule type="cellIs" dxfId="1425" priority="1317" stopIfTrue="1" operator="between">
      <formula>0.8</formula>
      <formula>1.2</formula>
    </cfRule>
  </conditionalFormatting>
  <conditionalFormatting sqref="AA26">
    <cfRule type="cellIs" dxfId="1424" priority="1316" stopIfTrue="1" operator="lessThan">
      <formula>0.8</formula>
    </cfRule>
  </conditionalFormatting>
  <conditionalFormatting sqref="AA26">
    <cfRule type="cellIs" dxfId="1423" priority="1315" stopIfTrue="1" operator="greaterThan">
      <formula>1.2</formula>
    </cfRule>
  </conditionalFormatting>
  <conditionalFormatting sqref="AA27">
    <cfRule type="cellIs" dxfId="1422" priority="1314" stopIfTrue="1" operator="between">
      <formula>0.8</formula>
      <formula>1.2</formula>
    </cfRule>
  </conditionalFormatting>
  <conditionalFormatting sqref="AA27">
    <cfRule type="cellIs" dxfId="1421" priority="1313" stopIfTrue="1" operator="lessThan">
      <formula>0.8</formula>
    </cfRule>
  </conditionalFormatting>
  <conditionalFormatting sqref="AA27">
    <cfRule type="cellIs" dxfId="1420" priority="1312" stopIfTrue="1" operator="greaterThan">
      <formula>1.2</formula>
    </cfRule>
  </conditionalFormatting>
  <conditionalFormatting sqref="AA28">
    <cfRule type="cellIs" dxfId="1419" priority="1311" stopIfTrue="1" operator="between">
      <formula>0.8</formula>
      <formula>1.2</formula>
    </cfRule>
  </conditionalFormatting>
  <conditionalFormatting sqref="AA28">
    <cfRule type="cellIs" dxfId="1418" priority="1310" stopIfTrue="1" operator="lessThan">
      <formula>0.8</formula>
    </cfRule>
  </conditionalFormatting>
  <conditionalFormatting sqref="AA28">
    <cfRule type="cellIs" dxfId="1417" priority="1309" stopIfTrue="1" operator="greaterThan">
      <formula>1.2</formula>
    </cfRule>
  </conditionalFormatting>
  <conditionalFormatting sqref="AA29">
    <cfRule type="cellIs" dxfId="1416" priority="1308" stopIfTrue="1" operator="between">
      <formula>0.8</formula>
      <formula>1.2</formula>
    </cfRule>
  </conditionalFormatting>
  <conditionalFormatting sqref="AA29">
    <cfRule type="cellIs" dxfId="1415" priority="1307" stopIfTrue="1" operator="lessThan">
      <formula>0.8</formula>
    </cfRule>
  </conditionalFormatting>
  <conditionalFormatting sqref="AA29">
    <cfRule type="cellIs" dxfId="1414" priority="1306" stopIfTrue="1" operator="greaterThan">
      <formula>1.2</formula>
    </cfRule>
  </conditionalFormatting>
  <conditionalFormatting sqref="AA30">
    <cfRule type="cellIs" dxfId="1413" priority="1305" stopIfTrue="1" operator="between">
      <formula>0.8</formula>
      <formula>1.2</formula>
    </cfRule>
  </conditionalFormatting>
  <conditionalFormatting sqref="AA30">
    <cfRule type="cellIs" dxfId="1412" priority="1304" stopIfTrue="1" operator="lessThan">
      <formula>0.8</formula>
    </cfRule>
  </conditionalFormatting>
  <conditionalFormatting sqref="AA30">
    <cfRule type="cellIs" dxfId="1411" priority="1303" stopIfTrue="1" operator="greaterThan">
      <formula>1.2</formula>
    </cfRule>
  </conditionalFormatting>
  <conditionalFormatting sqref="AA31">
    <cfRule type="cellIs" dxfId="1410" priority="1302" stopIfTrue="1" operator="between">
      <formula>0.8</formula>
      <formula>1.2</formula>
    </cfRule>
  </conditionalFormatting>
  <conditionalFormatting sqref="AA31">
    <cfRule type="cellIs" dxfId="1409" priority="1301" stopIfTrue="1" operator="lessThan">
      <formula>0.8</formula>
    </cfRule>
  </conditionalFormatting>
  <conditionalFormatting sqref="AA31">
    <cfRule type="cellIs" dxfId="1408" priority="1300" stopIfTrue="1" operator="greaterThan">
      <formula>1.2</formula>
    </cfRule>
  </conditionalFormatting>
  <conditionalFormatting sqref="AA32">
    <cfRule type="cellIs" dxfId="1407" priority="1299" stopIfTrue="1" operator="between">
      <formula>0.8</formula>
      <formula>1.2</formula>
    </cfRule>
  </conditionalFormatting>
  <conditionalFormatting sqref="AA32">
    <cfRule type="cellIs" dxfId="1406" priority="1298" stopIfTrue="1" operator="lessThan">
      <formula>0.8</formula>
    </cfRule>
  </conditionalFormatting>
  <conditionalFormatting sqref="AA32">
    <cfRule type="cellIs" dxfId="1405" priority="1297" stopIfTrue="1" operator="greaterThan">
      <formula>1.2</formula>
    </cfRule>
  </conditionalFormatting>
  <conditionalFormatting sqref="AA33">
    <cfRule type="cellIs" dxfId="1404" priority="1296" stopIfTrue="1" operator="between">
      <formula>0.8</formula>
      <formula>1.2</formula>
    </cfRule>
  </conditionalFormatting>
  <conditionalFormatting sqref="AA33">
    <cfRule type="cellIs" dxfId="1403" priority="1295" stopIfTrue="1" operator="lessThan">
      <formula>0.8</formula>
    </cfRule>
  </conditionalFormatting>
  <conditionalFormatting sqref="AA33">
    <cfRule type="cellIs" dxfId="1402" priority="1294" stopIfTrue="1" operator="greaterThan">
      <formula>1.2</formula>
    </cfRule>
  </conditionalFormatting>
  <conditionalFormatting sqref="AA34">
    <cfRule type="cellIs" dxfId="1401" priority="1293" stopIfTrue="1" operator="between">
      <formula>0.8</formula>
      <formula>1.2</formula>
    </cfRule>
  </conditionalFormatting>
  <conditionalFormatting sqref="AA34">
    <cfRule type="cellIs" dxfId="1400" priority="1292" stopIfTrue="1" operator="lessThan">
      <formula>0.8</formula>
    </cfRule>
  </conditionalFormatting>
  <conditionalFormatting sqref="AA34">
    <cfRule type="cellIs" dxfId="1399" priority="1291" stopIfTrue="1" operator="greaterThan">
      <formula>1.2</formula>
    </cfRule>
  </conditionalFormatting>
  <conditionalFormatting sqref="AA35">
    <cfRule type="cellIs" dxfId="1398" priority="1290" stopIfTrue="1" operator="between">
      <formula>0.8</formula>
      <formula>1.2</formula>
    </cfRule>
  </conditionalFormatting>
  <conditionalFormatting sqref="AA35">
    <cfRule type="cellIs" dxfId="1397" priority="1289" stopIfTrue="1" operator="lessThan">
      <formula>0.8</formula>
    </cfRule>
  </conditionalFormatting>
  <conditionalFormatting sqref="AA35">
    <cfRule type="cellIs" dxfId="1396" priority="1288" stopIfTrue="1" operator="greaterThan">
      <formula>1.2</formula>
    </cfRule>
  </conditionalFormatting>
  <conditionalFormatting sqref="AA36">
    <cfRule type="cellIs" dxfId="1395" priority="1287" stopIfTrue="1" operator="between">
      <formula>0.8</formula>
      <formula>1.2</formula>
    </cfRule>
  </conditionalFormatting>
  <conditionalFormatting sqref="AA36">
    <cfRule type="cellIs" dxfId="1394" priority="1286" stopIfTrue="1" operator="lessThan">
      <formula>0.8</formula>
    </cfRule>
  </conditionalFormatting>
  <conditionalFormatting sqref="AA36">
    <cfRule type="cellIs" dxfId="1393" priority="1285" stopIfTrue="1" operator="greaterThan">
      <formula>1.2</formula>
    </cfRule>
  </conditionalFormatting>
  <conditionalFormatting sqref="AA37">
    <cfRule type="cellIs" dxfId="1392" priority="1284" stopIfTrue="1" operator="between">
      <formula>0.8</formula>
      <formula>1.2</formula>
    </cfRule>
  </conditionalFormatting>
  <conditionalFormatting sqref="AA37">
    <cfRule type="cellIs" dxfId="1391" priority="1283" stopIfTrue="1" operator="lessThan">
      <formula>0.8</formula>
    </cfRule>
  </conditionalFormatting>
  <conditionalFormatting sqref="AA37">
    <cfRule type="cellIs" dxfId="1390" priority="1282" stopIfTrue="1" operator="greaterThan">
      <formula>1.2</formula>
    </cfRule>
  </conditionalFormatting>
  <conditionalFormatting sqref="AA38">
    <cfRule type="cellIs" dxfId="1389" priority="1281" stopIfTrue="1" operator="between">
      <formula>0.8</formula>
      <formula>1.2</formula>
    </cfRule>
  </conditionalFormatting>
  <conditionalFormatting sqref="AA38">
    <cfRule type="cellIs" dxfId="1388" priority="1280" stopIfTrue="1" operator="lessThan">
      <formula>0.8</formula>
    </cfRule>
  </conditionalFormatting>
  <conditionalFormatting sqref="AA38">
    <cfRule type="cellIs" dxfId="1387" priority="1279" stopIfTrue="1" operator="greaterThan">
      <formula>1.2</formula>
    </cfRule>
  </conditionalFormatting>
  <conditionalFormatting sqref="AA39">
    <cfRule type="cellIs" dxfId="1386" priority="1278" stopIfTrue="1" operator="between">
      <formula>0.8</formula>
      <formula>1.2</formula>
    </cfRule>
  </conditionalFormatting>
  <conditionalFormatting sqref="AA39">
    <cfRule type="cellIs" dxfId="1385" priority="1277" stopIfTrue="1" operator="lessThan">
      <formula>0.8</formula>
    </cfRule>
  </conditionalFormatting>
  <conditionalFormatting sqref="AA39">
    <cfRule type="cellIs" dxfId="1384" priority="1276" stopIfTrue="1" operator="greaterThan">
      <formula>1.2</formula>
    </cfRule>
  </conditionalFormatting>
  <conditionalFormatting sqref="AA40">
    <cfRule type="cellIs" dxfId="1383" priority="1275" stopIfTrue="1" operator="between">
      <formula>0.8</formula>
      <formula>1.2</formula>
    </cfRule>
  </conditionalFormatting>
  <conditionalFormatting sqref="AA40">
    <cfRule type="cellIs" dxfId="1382" priority="1274" stopIfTrue="1" operator="lessThan">
      <formula>0.8</formula>
    </cfRule>
  </conditionalFormatting>
  <conditionalFormatting sqref="AA40">
    <cfRule type="cellIs" dxfId="1381" priority="1273" stopIfTrue="1" operator="greaterThan">
      <formula>1.2</formula>
    </cfRule>
  </conditionalFormatting>
  <conditionalFormatting sqref="AA41">
    <cfRule type="cellIs" dxfId="1380" priority="1272" stopIfTrue="1" operator="between">
      <formula>0.8</formula>
      <formula>1.2</formula>
    </cfRule>
  </conditionalFormatting>
  <conditionalFormatting sqref="AA41">
    <cfRule type="cellIs" dxfId="1379" priority="1271" stopIfTrue="1" operator="lessThan">
      <formula>0.8</formula>
    </cfRule>
  </conditionalFormatting>
  <conditionalFormatting sqref="AA41">
    <cfRule type="cellIs" dxfId="1378" priority="1270" stopIfTrue="1" operator="greaterThan">
      <formula>1.2</formula>
    </cfRule>
  </conditionalFormatting>
  <conditionalFormatting sqref="AA42">
    <cfRule type="cellIs" dxfId="1377" priority="1269" stopIfTrue="1" operator="between">
      <formula>0.8</formula>
      <formula>1.2</formula>
    </cfRule>
  </conditionalFormatting>
  <conditionalFormatting sqref="AA42">
    <cfRule type="cellIs" dxfId="1376" priority="1268" stopIfTrue="1" operator="lessThan">
      <formula>0.8</formula>
    </cfRule>
  </conditionalFormatting>
  <conditionalFormatting sqref="AA42">
    <cfRule type="cellIs" dxfId="1375" priority="1267" stopIfTrue="1" operator="greaterThan">
      <formula>1.2</formula>
    </cfRule>
  </conditionalFormatting>
  <conditionalFormatting sqref="AA43">
    <cfRule type="cellIs" dxfId="1374" priority="1266" stopIfTrue="1" operator="between">
      <formula>0.8</formula>
      <formula>1.2</formula>
    </cfRule>
  </conditionalFormatting>
  <conditionalFormatting sqref="AA43">
    <cfRule type="cellIs" dxfId="1373" priority="1265" stopIfTrue="1" operator="lessThan">
      <formula>0.8</formula>
    </cfRule>
  </conditionalFormatting>
  <conditionalFormatting sqref="AA43">
    <cfRule type="cellIs" dxfId="1372" priority="1264" stopIfTrue="1" operator="greaterThan">
      <formula>1.2</formula>
    </cfRule>
  </conditionalFormatting>
  <conditionalFormatting sqref="AA44">
    <cfRule type="cellIs" dxfId="1371" priority="1263" stopIfTrue="1" operator="between">
      <formula>0.8</formula>
      <formula>1.2</formula>
    </cfRule>
  </conditionalFormatting>
  <conditionalFormatting sqref="AA44">
    <cfRule type="cellIs" dxfId="1370" priority="1262" stopIfTrue="1" operator="lessThan">
      <formula>0.8</formula>
    </cfRule>
  </conditionalFormatting>
  <conditionalFormatting sqref="AA44">
    <cfRule type="cellIs" dxfId="1369" priority="1261" stopIfTrue="1" operator="greaterThan">
      <formula>1.2</formula>
    </cfRule>
  </conditionalFormatting>
  <conditionalFormatting sqref="AB25">
    <cfRule type="cellIs" dxfId="1368" priority="1260" stopIfTrue="1" operator="between">
      <formula>0.8</formula>
      <formula>1.2</formula>
    </cfRule>
  </conditionalFormatting>
  <conditionalFormatting sqref="AB25">
    <cfRule type="cellIs" dxfId="1367" priority="1259" stopIfTrue="1" operator="lessThan">
      <formula>0.8</formula>
    </cfRule>
  </conditionalFormatting>
  <conditionalFormatting sqref="AB25">
    <cfRule type="cellIs" dxfId="1366" priority="1258" stopIfTrue="1" operator="greaterThan">
      <formula>1.2</formula>
    </cfRule>
  </conditionalFormatting>
  <conditionalFormatting sqref="AB26">
    <cfRule type="cellIs" dxfId="1365" priority="1257" stopIfTrue="1" operator="between">
      <formula>0.8</formula>
      <formula>1.2</formula>
    </cfRule>
  </conditionalFormatting>
  <conditionalFormatting sqref="AB26">
    <cfRule type="cellIs" dxfId="1364" priority="1256" stopIfTrue="1" operator="lessThan">
      <formula>0.8</formula>
    </cfRule>
  </conditionalFormatting>
  <conditionalFormatting sqref="AB26">
    <cfRule type="cellIs" dxfId="1363" priority="1255" stopIfTrue="1" operator="greaterThan">
      <formula>1.2</formula>
    </cfRule>
  </conditionalFormatting>
  <conditionalFormatting sqref="AB27">
    <cfRule type="cellIs" dxfId="1362" priority="1254" stopIfTrue="1" operator="between">
      <formula>0.8</formula>
      <formula>1.2</formula>
    </cfRule>
  </conditionalFormatting>
  <conditionalFormatting sqref="AB27">
    <cfRule type="cellIs" dxfId="1361" priority="1253" stopIfTrue="1" operator="lessThan">
      <formula>0.8</formula>
    </cfRule>
  </conditionalFormatting>
  <conditionalFormatting sqref="AB27">
    <cfRule type="cellIs" dxfId="1360" priority="1252" stopIfTrue="1" operator="greaterThan">
      <formula>1.2</formula>
    </cfRule>
  </conditionalFormatting>
  <conditionalFormatting sqref="AB28">
    <cfRule type="cellIs" dxfId="1359" priority="1251" stopIfTrue="1" operator="between">
      <formula>0.8</formula>
      <formula>1.2</formula>
    </cfRule>
  </conditionalFormatting>
  <conditionalFormatting sqref="AB28">
    <cfRule type="cellIs" dxfId="1358" priority="1250" stopIfTrue="1" operator="lessThan">
      <formula>0.8</formula>
    </cfRule>
  </conditionalFormatting>
  <conditionalFormatting sqref="AB28">
    <cfRule type="cellIs" dxfId="1357" priority="1249" stopIfTrue="1" operator="greaterThan">
      <formula>1.2</formula>
    </cfRule>
  </conditionalFormatting>
  <conditionalFormatting sqref="AB29">
    <cfRule type="cellIs" dxfId="1356" priority="1248" stopIfTrue="1" operator="between">
      <formula>0.8</formula>
      <formula>1.2</formula>
    </cfRule>
  </conditionalFormatting>
  <conditionalFormatting sqref="AB29">
    <cfRule type="cellIs" dxfId="1355" priority="1247" stopIfTrue="1" operator="lessThan">
      <formula>0.8</formula>
    </cfRule>
  </conditionalFormatting>
  <conditionalFormatting sqref="AB29">
    <cfRule type="cellIs" dxfId="1354" priority="1246" stopIfTrue="1" operator="greaterThan">
      <formula>1.2</formula>
    </cfRule>
  </conditionalFormatting>
  <conditionalFormatting sqref="AB30">
    <cfRule type="cellIs" dxfId="1353" priority="1245" stopIfTrue="1" operator="between">
      <formula>0.8</formula>
      <formula>1.2</formula>
    </cfRule>
  </conditionalFormatting>
  <conditionalFormatting sqref="AB30">
    <cfRule type="cellIs" dxfId="1352" priority="1244" stopIfTrue="1" operator="lessThan">
      <formula>0.8</formula>
    </cfRule>
  </conditionalFormatting>
  <conditionalFormatting sqref="AB30">
    <cfRule type="cellIs" dxfId="1351" priority="1243" stopIfTrue="1" operator="greaterThan">
      <formula>1.2</formula>
    </cfRule>
  </conditionalFormatting>
  <conditionalFormatting sqref="AB31">
    <cfRule type="cellIs" dxfId="1350" priority="1242" stopIfTrue="1" operator="between">
      <formula>0.8</formula>
      <formula>1.2</formula>
    </cfRule>
  </conditionalFormatting>
  <conditionalFormatting sqref="AB31">
    <cfRule type="cellIs" dxfId="1349" priority="1241" stopIfTrue="1" operator="lessThan">
      <formula>0.8</formula>
    </cfRule>
  </conditionalFormatting>
  <conditionalFormatting sqref="AB31">
    <cfRule type="cellIs" dxfId="1348" priority="1240" stopIfTrue="1" operator="greaterThan">
      <formula>1.2</formula>
    </cfRule>
  </conditionalFormatting>
  <conditionalFormatting sqref="AB32">
    <cfRule type="cellIs" dxfId="1347" priority="1239" stopIfTrue="1" operator="between">
      <formula>0.8</formula>
      <formula>1.2</formula>
    </cfRule>
  </conditionalFormatting>
  <conditionalFormatting sqref="AB32">
    <cfRule type="cellIs" dxfId="1346" priority="1238" stopIfTrue="1" operator="lessThan">
      <formula>0.8</formula>
    </cfRule>
  </conditionalFormatting>
  <conditionalFormatting sqref="AB32">
    <cfRule type="cellIs" dxfId="1345" priority="1237" stopIfTrue="1" operator="greaterThan">
      <formula>1.2</formula>
    </cfRule>
  </conditionalFormatting>
  <conditionalFormatting sqref="AB33">
    <cfRule type="cellIs" dxfId="1344" priority="1236" stopIfTrue="1" operator="between">
      <formula>0.8</formula>
      <formula>1.2</formula>
    </cfRule>
  </conditionalFormatting>
  <conditionalFormatting sqref="AB33">
    <cfRule type="cellIs" dxfId="1343" priority="1235" stopIfTrue="1" operator="lessThan">
      <formula>0.8</formula>
    </cfRule>
  </conditionalFormatting>
  <conditionalFormatting sqref="AB33">
    <cfRule type="cellIs" dxfId="1342" priority="1234" stopIfTrue="1" operator="greaterThan">
      <formula>1.2</formula>
    </cfRule>
  </conditionalFormatting>
  <conditionalFormatting sqref="AB34">
    <cfRule type="cellIs" dxfId="1341" priority="1233" stopIfTrue="1" operator="between">
      <formula>0.8</formula>
      <formula>1.2</formula>
    </cfRule>
  </conditionalFormatting>
  <conditionalFormatting sqref="AB34">
    <cfRule type="cellIs" dxfId="1340" priority="1232" stopIfTrue="1" operator="lessThan">
      <formula>0.8</formula>
    </cfRule>
  </conditionalFormatting>
  <conditionalFormatting sqref="AB34">
    <cfRule type="cellIs" dxfId="1339" priority="1231" stopIfTrue="1" operator="greaterThan">
      <formula>1.2</formula>
    </cfRule>
  </conditionalFormatting>
  <conditionalFormatting sqref="AB35">
    <cfRule type="cellIs" dxfId="1338" priority="1230" stopIfTrue="1" operator="between">
      <formula>0.8</formula>
      <formula>1.2</formula>
    </cfRule>
  </conditionalFormatting>
  <conditionalFormatting sqref="AB35">
    <cfRule type="cellIs" dxfId="1337" priority="1229" stopIfTrue="1" operator="lessThan">
      <formula>0.8</formula>
    </cfRule>
  </conditionalFormatting>
  <conditionalFormatting sqref="AB35">
    <cfRule type="cellIs" dxfId="1336" priority="1228" stopIfTrue="1" operator="greaterThan">
      <formula>1.2</formula>
    </cfRule>
  </conditionalFormatting>
  <conditionalFormatting sqref="AB36">
    <cfRule type="cellIs" dxfId="1335" priority="1227" stopIfTrue="1" operator="between">
      <formula>0.8</formula>
      <formula>1.2</formula>
    </cfRule>
  </conditionalFormatting>
  <conditionalFormatting sqref="AB36">
    <cfRule type="cellIs" dxfId="1334" priority="1226" stopIfTrue="1" operator="lessThan">
      <formula>0.8</formula>
    </cfRule>
  </conditionalFormatting>
  <conditionalFormatting sqref="AB36">
    <cfRule type="cellIs" dxfId="1333" priority="1225" stopIfTrue="1" operator="greaterThan">
      <formula>1.2</formula>
    </cfRule>
  </conditionalFormatting>
  <conditionalFormatting sqref="AB37">
    <cfRule type="cellIs" dxfId="1332" priority="1224" stopIfTrue="1" operator="between">
      <formula>0.8</formula>
      <formula>1.2</formula>
    </cfRule>
  </conditionalFormatting>
  <conditionalFormatting sqref="AB37">
    <cfRule type="cellIs" dxfId="1331" priority="1223" stopIfTrue="1" operator="lessThan">
      <formula>0.8</formula>
    </cfRule>
  </conditionalFormatting>
  <conditionalFormatting sqref="AB37">
    <cfRule type="cellIs" dxfId="1330" priority="1222" stopIfTrue="1" operator="greaterThan">
      <formula>1.2</formula>
    </cfRule>
  </conditionalFormatting>
  <conditionalFormatting sqref="AB38">
    <cfRule type="cellIs" dxfId="1329" priority="1221" stopIfTrue="1" operator="between">
      <formula>0.8</formula>
      <formula>1.2</formula>
    </cfRule>
  </conditionalFormatting>
  <conditionalFormatting sqref="AB38">
    <cfRule type="cellIs" dxfId="1328" priority="1220" stopIfTrue="1" operator="lessThan">
      <formula>0.8</formula>
    </cfRule>
  </conditionalFormatting>
  <conditionalFormatting sqref="AB38">
    <cfRule type="cellIs" dxfId="1327" priority="1219" stopIfTrue="1" operator="greaterThan">
      <formula>1.2</formula>
    </cfRule>
  </conditionalFormatting>
  <conditionalFormatting sqref="AB39">
    <cfRule type="cellIs" dxfId="1326" priority="1218" stopIfTrue="1" operator="between">
      <formula>0.8</formula>
      <formula>1.2</formula>
    </cfRule>
  </conditionalFormatting>
  <conditionalFormatting sqref="AB39">
    <cfRule type="cellIs" dxfId="1325" priority="1217" stopIfTrue="1" operator="lessThan">
      <formula>0.8</formula>
    </cfRule>
  </conditionalFormatting>
  <conditionalFormatting sqref="AB39">
    <cfRule type="cellIs" dxfId="1324" priority="1216" stopIfTrue="1" operator="greaterThan">
      <formula>1.2</formula>
    </cfRule>
  </conditionalFormatting>
  <conditionalFormatting sqref="AB40">
    <cfRule type="cellIs" dxfId="1323" priority="1215" stopIfTrue="1" operator="between">
      <formula>0.8</formula>
      <formula>1.2</formula>
    </cfRule>
  </conditionalFormatting>
  <conditionalFormatting sqref="AB40">
    <cfRule type="cellIs" dxfId="1322" priority="1214" stopIfTrue="1" operator="lessThan">
      <formula>0.8</formula>
    </cfRule>
  </conditionalFormatting>
  <conditionalFormatting sqref="AB40">
    <cfRule type="cellIs" dxfId="1321" priority="1213" stopIfTrue="1" operator="greaterThan">
      <formula>1.2</formula>
    </cfRule>
  </conditionalFormatting>
  <conditionalFormatting sqref="AB41">
    <cfRule type="cellIs" dxfId="1320" priority="1212" stopIfTrue="1" operator="between">
      <formula>0.8</formula>
      <formula>1.2</formula>
    </cfRule>
  </conditionalFormatting>
  <conditionalFormatting sqref="AB41">
    <cfRule type="cellIs" dxfId="1319" priority="1211" stopIfTrue="1" operator="lessThan">
      <formula>0.8</formula>
    </cfRule>
  </conditionalFormatting>
  <conditionalFormatting sqref="AB41">
    <cfRule type="cellIs" dxfId="1318" priority="1210" stopIfTrue="1" operator="greaterThan">
      <formula>1.2</formula>
    </cfRule>
  </conditionalFormatting>
  <conditionalFormatting sqref="AB42">
    <cfRule type="cellIs" dxfId="1317" priority="1209" stopIfTrue="1" operator="between">
      <formula>0.8</formula>
      <formula>1.2</formula>
    </cfRule>
  </conditionalFormatting>
  <conditionalFormatting sqref="AB42">
    <cfRule type="cellIs" dxfId="1316" priority="1208" stopIfTrue="1" operator="lessThan">
      <formula>0.8</formula>
    </cfRule>
  </conditionalFormatting>
  <conditionalFormatting sqref="AB42">
    <cfRule type="cellIs" dxfId="1315" priority="1207" stopIfTrue="1" operator="greaterThan">
      <formula>1.2</formula>
    </cfRule>
  </conditionalFormatting>
  <conditionalFormatting sqref="AB43">
    <cfRule type="cellIs" dxfId="1314" priority="1206" stopIfTrue="1" operator="between">
      <formula>0.8</formula>
      <formula>1.2</formula>
    </cfRule>
  </conditionalFormatting>
  <conditionalFormatting sqref="AB43">
    <cfRule type="cellIs" dxfId="1313" priority="1205" stopIfTrue="1" operator="lessThan">
      <formula>0.8</formula>
    </cfRule>
  </conditionalFormatting>
  <conditionalFormatting sqref="AB43">
    <cfRule type="cellIs" dxfId="1312" priority="1204" stopIfTrue="1" operator="greaterThan">
      <formula>1.2</formula>
    </cfRule>
  </conditionalFormatting>
  <conditionalFormatting sqref="AB44">
    <cfRule type="cellIs" dxfId="1311" priority="1203" stopIfTrue="1" operator="between">
      <formula>0.8</formula>
      <formula>1.2</formula>
    </cfRule>
  </conditionalFormatting>
  <conditionalFormatting sqref="AB44">
    <cfRule type="cellIs" dxfId="1310" priority="1202" stopIfTrue="1" operator="lessThan">
      <formula>0.8</formula>
    </cfRule>
  </conditionalFormatting>
  <conditionalFormatting sqref="AB44">
    <cfRule type="cellIs" dxfId="1309" priority="1201" stopIfTrue="1" operator="greaterThan">
      <formula>1.2</formula>
    </cfRule>
  </conditionalFormatting>
  <conditionalFormatting sqref="AC25">
    <cfRule type="cellIs" dxfId="1308" priority="1200" stopIfTrue="1" operator="between">
      <formula>0.8</formula>
      <formula>1.2</formula>
    </cfRule>
  </conditionalFormatting>
  <conditionalFormatting sqref="AC25">
    <cfRule type="cellIs" dxfId="1307" priority="1199" stopIfTrue="1" operator="lessThan">
      <formula>0.8</formula>
    </cfRule>
  </conditionalFormatting>
  <conditionalFormatting sqref="AC25">
    <cfRule type="cellIs" dxfId="1306" priority="1198" stopIfTrue="1" operator="greaterThan">
      <formula>1.2</formula>
    </cfRule>
  </conditionalFormatting>
  <conditionalFormatting sqref="AC26">
    <cfRule type="cellIs" dxfId="1305" priority="1197" stopIfTrue="1" operator="between">
      <formula>0.8</formula>
      <formula>1.2</formula>
    </cfRule>
  </conditionalFormatting>
  <conditionalFormatting sqref="AC26">
    <cfRule type="cellIs" dxfId="1304" priority="1196" stopIfTrue="1" operator="lessThan">
      <formula>0.8</formula>
    </cfRule>
  </conditionalFormatting>
  <conditionalFormatting sqref="AC26">
    <cfRule type="cellIs" dxfId="1303" priority="1195" stopIfTrue="1" operator="greaterThan">
      <formula>1.2</formula>
    </cfRule>
  </conditionalFormatting>
  <conditionalFormatting sqref="AC27">
    <cfRule type="cellIs" dxfId="1302" priority="1194" stopIfTrue="1" operator="between">
      <formula>0.8</formula>
      <formula>1.2</formula>
    </cfRule>
  </conditionalFormatting>
  <conditionalFormatting sqref="AC27">
    <cfRule type="cellIs" dxfId="1301" priority="1193" stopIfTrue="1" operator="lessThan">
      <formula>0.8</formula>
    </cfRule>
  </conditionalFormatting>
  <conditionalFormatting sqref="AC27">
    <cfRule type="cellIs" dxfId="1300" priority="1192" stopIfTrue="1" operator="greaterThan">
      <formula>1.2</formula>
    </cfRule>
  </conditionalFormatting>
  <conditionalFormatting sqref="AC28">
    <cfRule type="cellIs" dxfId="1299" priority="1191" stopIfTrue="1" operator="between">
      <formula>0.8</formula>
      <formula>1.2</formula>
    </cfRule>
  </conditionalFormatting>
  <conditionalFormatting sqref="AC28">
    <cfRule type="cellIs" dxfId="1298" priority="1190" stopIfTrue="1" operator="lessThan">
      <formula>0.8</formula>
    </cfRule>
  </conditionalFormatting>
  <conditionalFormatting sqref="AC28">
    <cfRule type="cellIs" dxfId="1297" priority="1189" stopIfTrue="1" operator="greaterThan">
      <formula>1.2</formula>
    </cfRule>
  </conditionalFormatting>
  <conditionalFormatting sqref="AC29">
    <cfRule type="cellIs" dxfId="1296" priority="1188" stopIfTrue="1" operator="between">
      <formula>0.8</formula>
      <formula>1.2</formula>
    </cfRule>
  </conditionalFormatting>
  <conditionalFormatting sqref="AC29">
    <cfRule type="cellIs" dxfId="1295" priority="1187" stopIfTrue="1" operator="lessThan">
      <formula>0.8</formula>
    </cfRule>
  </conditionalFormatting>
  <conditionalFormatting sqref="AC29">
    <cfRule type="cellIs" dxfId="1294" priority="1186" stopIfTrue="1" operator="greaterThan">
      <formula>1.2</formula>
    </cfRule>
  </conditionalFormatting>
  <conditionalFormatting sqref="AC30">
    <cfRule type="cellIs" dxfId="1293" priority="1185" stopIfTrue="1" operator="between">
      <formula>0.8</formula>
      <formula>1.2</formula>
    </cfRule>
  </conditionalFormatting>
  <conditionalFormatting sqref="AC30">
    <cfRule type="cellIs" dxfId="1292" priority="1184" stopIfTrue="1" operator="lessThan">
      <formula>0.8</formula>
    </cfRule>
  </conditionalFormatting>
  <conditionalFormatting sqref="AC30">
    <cfRule type="cellIs" dxfId="1291" priority="1183" stopIfTrue="1" operator="greaterThan">
      <formula>1.2</formula>
    </cfRule>
  </conditionalFormatting>
  <conditionalFormatting sqref="AC31">
    <cfRule type="cellIs" dxfId="1290" priority="1182" stopIfTrue="1" operator="between">
      <formula>0.8</formula>
      <formula>1.2</formula>
    </cfRule>
  </conditionalFormatting>
  <conditionalFormatting sqref="AC31">
    <cfRule type="cellIs" dxfId="1289" priority="1181" stopIfTrue="1" operator="lessThan">
      <formula>0.8</formula>
    </cfRule>
  </conditionalFormatting>
  <conditionalFormatting sqref="AC31">
    <cfRule type="cellIs" dxfId="1288" priority="1180" stopIfTrue="1" operator="greaterThan">
      <formula>1.2</formula>
    </cfRule>
  </conditionalFormatting>
  <conditionalFormatting sqref="AC32">
    <cfRule type="cellIs" dxfId="1287" priority="1179" stopIfTrue="1" operator="between">
      <formula>0.8</formula>
      <formula>1.2</formula>
    </cfRule>
  </conditionalFormatting>
  <conditionalFormatting sqref="AC32">
    <cfRule type="cellIs" dxfId="1286" priority="1178" stopIfTrue="1" operator="lessThan">
      <formula>0.8</formula>
    </cfRule>
  </conditionalFormatting>
  <conditionalFormatting sqref="AC32">
    <cfRule type="cellIs" dxfId="1285" priority="1177" stopIfTrue="1" operator="greaterThan">
      <formula>1.2</formula>
    </cfRule>
  </conditionalFormatting>
  <conditionalFormatting sqref="AC33">
    <cfRule type="cellIs" dxfId="1284" priority="1176" stopIfTrue="1" operator="between">
      <formula>0.8</formula>
      <formula>1.2</formula>
    </cfRule>
  </conditionalFormatting>
  <conditionalFormatting sqref="AC33">
    <cfRule type="cellIs" dxfId="1283" priority="1175" stopIfTrue="1" operator="lessThan">
      <formula>0.8</formula>
    </cfRule>
  </conditionalFormatting>
  <conditionalFormatting sqref="AC33">
    <cfRule type="cellIs" dxfId="1282" priority="1174" stopIfTrue="1" operator="greaterThan">
      <formula>1.2</formula>
    </cfRule>
  </conditionalFormatting>
  <conditionalFormatting sqref="AC34">
    <cfRule type="cellIs" dxfId="1281" priority="1173" stopIfTrue="1" operator="between">
      <formula>0.8</formula>
      <formula>1.2</formula>
    </cfRule>
  </conditionalFormatting>
  <conditionalFormatting sqref="AC34">
    <cfRule type="cellIs" dxfId="1280" priority="1172" stopIfTrue="1" operator="lessThan">
      <formula>0.8</formula>
    </cfRule>
  </conditionalFormatting>
  <conditionalFormatting sqref="AC34">
    <cfRule type="cellIs" dxfId="1279" priority="1171" stopIfTrue="1" operator="greaterThan">
      <formula>1.2</formula>
    </cfRule>
  </conditionalFormatting>
  <conditionalFormatting sqref="AC35">
    <cfRule type="cellIs" dxfId="1278" priority="1170" stopIfTrue="1" operator="between">
      <formula>0.8</formula>
      <formula>1.2</formula>
    </cfRule>
  </conditionalFormatting>
  <conditionalFormatting sqref="AC35">
    <cfRule type="cellIs" dxfId="1277" priority="1169" stopIfTrue="1" operator="lessThan">
      <formula>0.8</formula>
    </cfRule>
  </conditionalFormatting>
  <conditionalFormatting sqref="AC35">
    <cfRule type="cellIs" dxfId="1276" priority="1168" stopIfTrue="1" operator="greaterThan">
      <formula>1.2</formula>
    </cfRule>
  </conditionalFormatting>
  <conditionalFormatting sqref="AC36">
    <cfRule type="cellIs" dxfId="1275" priority="1167" stopIfTrue="1" operator="between">
      <formula>0.8</formula>
      <formula>1.2</formula>
    </cfRule>
  </conditionalFormatting>
  <conditionalFormatting sqref="AC36">
    <cfRule type="cellIs" dxfId="1274" priority="1166" stopIfTrue="1" operator="lessThan">
      <formula>0.8</formula>
    </cfRule>
  </conditionalFormatting>
  <conditionalFormatting sqref="AC36">
    <cfRule type="cellIs" dxfId="1273" priority="1165" stopIfTrue="1" operator="greaterThan">
      <formula>1.2</formula>
    </cfRule>
  </conditionalFormatting>
  <conditionalFormatting sqref="AC37">
    <cfRule type="cellIs" dxfId="1272" priority="1164" stopIfTrue="1" operator="between">
      <formula>0.8</formula>
      <formula>1.2</formula>
    </cfRule>
  </conditionalFormatting>
  <conditionalFormatting sqref="AC37">
    <cfRule type="cellIs" dxfId="1271" priority="1163" stopIfTrue="1" operator="lessThan">
      <formula>0.8</formula>
    </cfRule>
  </conditionalFormatting>
  <conditionalFormatting sqref="AC37">
    <cfRule type="cellIs" dxfId="1270" priority="1162" stopIfTrue="1" operator="greaterThan">
      <formula>1.2</formula>
    </cfRule>
  </conditionalFormatting>
  <conditionalFormatting sqref="AC38">
    <cfRule type="cellIs" dxfId="1269" priority="1161" stopIfTrue="1" operator="between">
      <formula>0.8</formula>
      <formula>1.2</formula>
    </cfRule>
  </conditionalFormatting>
  <conditionalFormatting sqref="AC38">
    <cfRule type="cellIs" dxfId="1268" priority="1160" stopIfTrue="1" operator="lessThan">
      <formula>0.8</formula>
    </cfRule>
  </conditionalFormatting>
  <conditionalFormatting sqref="AC38">
    <cfRule type="cellIs" dxfId="1267" priority="1159" stopIfTrue="1" operator="greaterThan">
      <formula>1.2</formula>
    </cfRule>
  </conditionalFormatting>
  <conditionalFormatting sqref="AC39">
    <cfRule type="cellIs" dxfId="1266" priority="1158" stopIfTrue="1" operator="between">
      <formula>0.8</formula>
      <formula>1.2</formula>
    </cfRule>
  </conditionalFormatting>
  <conditionalFormatting sqref="AC39">
    <cfRule type="cellIs" dxfId="1265" priority="1157" stopIfTrue="1" operator="lessThan">
      <formula>0.8</formula>
    </cfRule>
  </conditionalFormatting>
  <conditionalFormatting sqref="AC39">
    <cfRule type="cellIs" dxfId="1264" priority="1156" stopIfTrue="1" operator="greaterThan">
      <formula>1.2</formula>
    </cfRule>
  </conditionalFormatting>
  <conditionalFormatting sqref="AC40">
    <cfRule type="cellIs" dxfId="1263" priority="1155" stopIfTrue="1" operator="between">
      <formula>0.8</formula>
      <formula>1.2</formula>
    </cfRule>
  </conditionalFormatting>
  <conditionalFormatting sqref="AC40">
    <cfRule type="cellIs" dxfId="1262" priority="1154" stopIfTrue="1" operator="lessThan">
      <formula>0.8</formula>
    </cfRule>
  </conditionalFormatting>
  <conditionalFormatting sqref="AC40">
    <cfRule type="cellIs" dxfId="1261" priority="1153" stopIfTrue="1" operator="greaterThan">
      <formula>1.2</formula>
    </cfRule>
  </conditionalFormatting>
  <conditionalFormatting sqref="AC41">
    <cfRule type="cellIs" dxfId="1260" priority="1152" stopIfTrue="1" operator="between">
      <formula>0.8</formula>
      <formula>1.2</formula>
    </cfRule>
  </conditionalFormatting>
  <conditionalFormatting sqref="AC41">
    <cfRule type="cellIs" dxfId="1259" priority="1151" stopIfTrue="1" operator="lessThan">
      <formula>0.8</formula>
    </cfRule>
  </conditionalFormatting>
  <conditionalFormatting sqref="AC41">
    <cfRule type="cellIs" dxfId="1258" priority="1150" stopIfTrue="1" operator="greaterThan">
      <formula>1.2</formula>
    </cfRule>
  </conditionalFormatting>
  <conditionalFormatting sqref="AC42">
    <cfRule type="cellIs" dxfId="1257" priority="1149" stopIfTrue="1" operator="between">
      <formula>0.8</formula>
      <formula>1.2</formula>
    </cfRule>
  </conditionalFormatting>
  <conditionalFormatting sqref="AC42">
    <cfRule type="cellIs" dxfId="1256" priority="1148" stopIfTrue="1" operator="lessThan">
      <formula>0.8</formula>
    </cfRule>
  </conditionalFormatting>
  <conditionalFormatting sqref="AC42">
    <cfRule type="cellIs" dxfId="1255" priority="1147" stopIfTrue="1" operator="greaterThan">
      <formula>1.2</formula>
    </cfRule>
  </conditionalFormatting>
  <conditionalFormatting sqref="AC43">
    <cfRule type="cellIs" dxfId="1254" priority="1146" stopIfTrue="1" operator="between">
      <formula>0.8</formula>
      <formula>1.2</formula>
    </cfRule>
  </conditionalFormatting>
  <conditionalFormatting sqref="AC43">
    <cfRule type="cellIs" dxfId="1253" priority="1145" stopIfTrue="1" operator="lessThan">
      <formula>0.8</formula>
    </cfRule>
  </conditionalFormatting>
  <conditionalFormatting sqref="AC43">
    <cfRule type="cellIs" dxfId="1252" priority="1144" stopIfTrue="1" operator="greaterThan">
      <formula>1.2</formula>
    </cfRule>
  </conditionalFormatting>
  <conditionalFormatting sqref="AC44">
    <cfRule type="cellIs" dxfId="1251" priority="1143" stopIfTrue="1" operator="between">
      <formula>0.8</formula>
      <formula>1.2</formula>
    </cfRule>
  </conditionalFormatting>
  <conditionalFormatting sqref="AC44">
    <cfRule type="cellIs" dxfId="1250" priority="1142" stopIfTrue="1" operator="lessThan">
      <formula>0.8</formula>
    </cfRule>
  </conditionalFormatting>
  <conditionalFormatting sqref="AC44">
    <cfRule type="cellIs" dxfId="1249" priority="1141" stopIfTrue="1" operator="greaterThan">
      <formula>1.2</formula>
    </cfRule>
  </conditionalFormatting>
  <conditionalFormatting sqref="AD25">
    <cfRule type="cellIs" dxfId="1248" priority="1140" stopIfTrue="1" operator="between">
      <formula>0.8</formula>
      <formula>1.2</formula>
    </cfRule>
  </conditionalFormatting>
  <conditionalFormatting sqref="AD25">
    <cfRule type="cellIs" dxfId="1247" priority="1139" stopIfTrue="1" operator="lessThan">
      <formula>0.8</formula>
    </cfRule>
  </conditionalFormatting>
  <conditionalFormatting sqref="AD25">
    <cfRule type="cellIs" dxfId="1246" priority="1138" stopIfTrue="1" operator="greaterThan">
      <formula>1.2</formula>
    </cfRule>
  </conditionalFormatting>
  <conditionalFormatting sqref="AD26">
    <cfRule type="cellIs" dxfId="1245" priority="1137" stopIfTrue="1" operator="between">
      <formula>0.8</formula>
      <formula>1.2</formula>
    </cfRule>
  </conditionalFormatting>
  <conditionalFormatting sqref="AD26">
    <cfRule type="cellIs" dxfId="1244" priority="1136" stopIfTrue="1" operator="lessThan">
      <formula>0.8</formula>
    </cfRule>
  </conditionalFormatting>
  <conditionalFormatting sqref="AD26">
    <cfRule type="cellIs" dxfId="1243" priority="1135" stopIfTrue="1" operator="greaterThan">
      <formula>1.2</formula>
    </cfRule>
  </conditionalFormatting>
  <conditionalFormatting sqref="AD27">
    <cfRule type="cellIs" dxfId="1242" priority="1134" stopIfTrue="1" operator="between">
      <formula>0.8</formula>
      <formula>1.2</formula>
    </cfRule>
  </conditionalFormatting>
  <conditionalFormatting sqref="AD27">
    <cfRule type="cellIs" dxfId="1241" priority="1133" stopIfTrue="1" operator="lessThan">
      <formula>0.8</formula>
    </cfRule>
  </conditionalFormatting>
  <conditionalFormatting sqref="AD27">
    <cfRule type="cellIs" dxfId="1240" priority="1132" stopIfTrue="1" operator="greaterThan">
      <formula>1.2</formula>
    </cfRule>
  </conditionalFormatting>
  <conditionalFormatting sqref="AD28">
    <cfRule type="cellIs" dxfId="1239" priority="1131" stopIfTrue="1" operator="between">
      <formula>0.8</formula>
      <formula>1.2</formula>
    </cfRule>
  </conditionalFormatting>
  <conditionalFormatting sqref="AD28">
    <cfRule type="cellIs" dxfId="1238" priority="1130" stopIfTrue="1" operator="lessThan">
      <formula>0.8</formula>
    </cfRule>
  </conditionalFormatting>
  <conditionalFormatting sqref="AD28">
    <cfRule type="cellIs" dxfId="1237" priority="1129" stopIfTrue="1" operator="greaterThan">
      <formula>1.2</formula>
    </cfRule>
  </conditionalFormatting>
  <conditionalFormatting sqref="AD29">
    <cfRule type="cellIs" dxfId="1236" priority="1128" stopIfTrue="1" operator="between">
      <formula>0.8</formula>
      <formula>1.2</formula>
    </cfRule>
  </conditionalFormatting>
  <conditionalFormatting sqref="AD29">
    <cfRule type="cellIs" dxfId="1235" priority="1127" stopIfTrue="1" operator="lessThan">
      <formula>0.8</formula>
    </cfRule>
  </conditionalFormatting>
  <conditionalFormatting sqref="AD29">
    <cfRule type="cellIs" dxfId="1234" priority="1126" stopIfTrue="1" operator="greaterThan">
      <formula>1.2</formula>
    </cfRule>
  </conditionalFormatting>
  <conditionalFormatting sqref="AD30">
    <cfRule type="cellIs" dxfId="1233" priority="1125" stopIfTrue="1" operator="between">
      <formula>0.8</formula>
      <formula>1.2</formula>
    </cfRule>
  </conditionalFormatting>
  <conditionalFormatting sqref="AD30">
    <cfRule type="cellIs" dxfId="1232" priority="1124" stopIfTrue="1" operator="lessThan">
      <formula>0.8</formula>
    </cfRule>
  </conditionalFormatting>
  <conditionalFormatting sqref="AD30">
    <cfRule type="cellIs" dxfId="1231" priority="1123" stopIfTrue="1" operator="greaterThan">
      <formula>1.2</formula>
    </cfRule>
  </conditionalFormatting>
  <conditionalFormatting sqref="AD31">
    <cfRule type="cellIs" dxfId="1230" priority="1122" stopIfTrue="1" operator="between">
      <formula>0.8</formula>
      <formula>1.2</formula>
    </cfRule>
  </conditionalFormatting>
  <conditionalFormatting sqref="AD31">
    <cfRule type="cellIs" dxfId="1229" priority="1121" stopIfTrue="1" operator="lessThan">
      <formula>0.8</formula>
    </cfRule>
  </conditionalFormatting>
  <conditionalFormatting sqref="AD31">
    <cfRule type="cellIs" dxfId="1228" priority="1120" stopIfTrue="1" operator="greaterThan">
      <formula>1.2</formula>
    </cfRule>
  </conditionalFormatting>
  <conditionalFormatting sqref="AD32">
    <cfRule type="cellIs" dxfId="1227" priority="1119" stopIfTrue="1" operator="between">
      <formula>0.8</formula>
      <formula>1.2</formula>
    </cfRule>
  </conditionalFormatting>
  <conditionalFormatting sqref="AD32">
    <cfRule type="cellIs" dxfId="1226" priority="1118" stopIfTrue="1" operator="lessThan">
      <formula>0.8</formula>
    </cfRule>
  </conditionalFormatting>
  <conditionalFormatting sqref="AD32">
    <cfRule type="cellIs" dxfId="1225" priority="1117" stopIfTrue="1" operator="greaterThan">
      <formula>1.2</formula>
    </cfRule>
  </conditionalFormatting>
  <conditionalFormatting sqref="AD33">
    <cfRule type="cellIs" dxfId="1224" priority="1116" stopIfTrue="1" operator="between">
      <formula>0.8</formula>
      <formula>1.2</formula>
    </cfRule>
  </conditionalFormatting>
  <conditionalFormatting sqref="AD33">
    <cfRule type="cellIs" dxfId="1223" priority="1115" stopIfTrue="1" operator="lessThan">
      <formula>0.8</formula>
    </cfRule>
  </conditionalFormatting>
  <conditionalFormatting sqref="AD33">
    <cfRule type="cellIs" dxfId="1222" priority="1114" stopIfTrue="1" operator="greaterThan">
      <formula>1.2</formula>
    </cfRule>
  </conditionalFormatting>
  <conditionalFormatting sqref="AD34">
    <cfRule type="cellIs" dxfId="1221" priority="1113" stopIfTrue="1" operator="between">
      <formula>0.8</formula>
      <formula>1.2</formula>
    </cfRule>
  </conditionalFormatting>
  <conditionalFormatting sqref="AD34">
    <cfRule type="cellIs" dxfId="1220" priority="1112" stopIfTrue="1" operator="lessThan">
      <formula>0.8</formula>
    </cfRule>
  </conditionalFormatting>
  <conditionalFormatting sqref="AD34">
    <cfRule type="cellIs" dxfId="1219" priority="1111" stopIfTrue="1" operator="greaterThan">
      <formula>1.2</formula>
    </cfRule>
  </conditionalFormatting>
  <conditionalFormatting sqref="AD35">
    <cfRule type="cellIs" dxfId="1218" priority="1110" stopIfTrue="1" operator="between">
      <formula>0.8</formula>
      <formula>1.2</formula>
    </cfRule>
  </conditionalFormatting>
  <conditionalFormatting sqref="AD35">
    <cfRule type="cellIs" dxfId="1217" priority="1109" stopIfTrue="1" operator="lessThan">
      <formula>0.8</formula>
    </cfRule>
  </conditionalFormatting>
  <conditionalFormatting sqref="AD35">
    <cfRule type="cellIs" dxfId="1216" priority="1108" stopIfTrue="1" operator="greaterThan">
      <formula>1.2</formula>
    </cfRule>
  </conditionalFormatting>
  <conditionalFormatting sqref="AD36">
    <cfRule type="cellIs" dxfId="1215" priority="1107" stopIfTrue="1" operator="between">
      <formula>0.8</formula>
      <formula>1.2</formula>
    </cfRule>
  </conditionalFormatting>
  <conditionalFormatting sqref="AD36">
    <cfRule type="cellIs" dxfId="1214" priority="1106" stopIfTrue="1" operator="lessThan">
      <formula>0.8</formula>
    </cfRule>
  </conditionalFormatting>
  <conditionalFormatting sqref="AD36">
    <cfRule type="cellIs" dxfId="1213" priority="1105" stopIfTrue="1" operator="greaterThan">
      <formula>1.2</formula>
    </cfRule>
  </conditionalFormatting>
  <conditionalFormatting sqref="AD37">
    <cfRule type="cellIs" dxfId="1212" priority="1104" stopIfTrue="1" operator="between">
      <formula>0.8</formula>
      <formula>1.2</formula>
    </cfRule>
  </conditionalFormatting>
  <conditionalFormatting sqref="AD37">
    <cfRule type="cellIs" dxfId="1211" priority="1103" stopIfTrue="1" operator="lessThan">
      <formula>0.8</formula>
    </cfRule>
  </conditionalFormatting>
  <conditionalFormatting sqref="AD37">
    <cfRule type="cellIs" dxfId="1210" priority="1102" stopIfTrue="1" operator="greaterThan">
      <formula>1.2</formula>
    </cfRule>
  </conditionalFormatting>
  <conditionalFormatting sqref="AD38">
    <cfRule type="cellIs" dxfId="1209" priority="1101" stopIfTrue="1" operator="between">
      <formula>0.8</formula>
      <formula>1.2</formula>
    </cfRule>
  </conditionalFormatting>
  <conditionalFormatting sqref="AD38">
    <cfRule type="cellIs" dxfId="1208" priority="1100" stopIfTrue="1" operator="lessThan">
      <formula>0.8</formula>
    </cfRule>
  </conditionalFormatting>
  <conditionalFormatting sqref="AD38">
    <cfRule type="cellIs" dxfId="1207" priority="1099" stopIfTrue="1" operator="greaterThan">
      <formula>1.2</formula>
    </cfRule>
  </conditionalFormatting>
  <conditionalFormatting sqref="AD39">
    <cfRule type="cellIs" dxfId="1206" priority="1098" stopIfTrue="1" operator="between">
      <formula>0.8</formula>
      <formula>1.2</formula>
    </cfRule>
  </conditionalFormatting>
  <conditionalFormatting sqref="AD39">
    <cfRule type="cellIs" dxfId="1205" priority="1097" stopIfTrue="1" operator="lessThan">
      <formula>0.8</formula>
    </cfRule>
  </conditionalFormatting>
  <conditionalFormatting sqref="AD39">
    <cfRule type="cellIs" dxfId="1204" priority="1096" stopIfTrue="1" operator="greaterThan">
      <formula>1.2</formula>
    </cfRule>
  </conditionalFormatting>
  <conditionalFormatting sqref="AD40">
    <cfRule type="cellIs" dxfId="1203" priority="1095" stopIfTrue="1" operator="between">
      <formula>0.8</formula>
      <formula>1.2</formula>
    </cfRule>
  </conditionalFormatting>
  <conditionalFormatting sqref="AD40">
    <cfRule type="cellIs" dxfId="1202" priority="1094" stopIfTrue="1" operator="lessThan">
      <formula>0.8</formula>
    </cfRule>
  </conditionalFormatting>
  <conditionalFormatting sqref="AD40">
    <cfRule type="cellIs" dxfId="1201" priority="1093" stopIfTrue="1" operator="greaterThan">
      <formula>1.2</formula>
    </cfRule>
  </conditionalFormatting>
  <conditionalFormatting sqref="AD41">
    <cfRule type="cellIs" dxfId="1200" priority="1092" stopIfTrue="1" operator="between">
      <formula>0.8</formula>
      <formula>1.2</formula>
    </cfRule>
  </conditionalFormatting>
  <conditionalFormatting sqref="AD41">
    <cfRule type="cellIs" dxfId="1199" priority="1091" stopIfTrue="1" operator="lessThan">
      <formula>0.8</formula>
    </cfRule>
  </conditionalFormatting>
  <conditionalFormatting sqref="AD41">
    <cfRule type="cellIs" dxfId="1198" priority="1090" stopIfTrue="1" operator="greaterThan">
      <formula>1.2</formula>
    </cfRule>
  </conditionalFormatting>
  <conditionalFormatting sqref="AD42">
    <cfRule type="cellIs" dxfId="1197" priority="1089" stopIfTrue="1" operator="between">
      <formula>0.8</formula>
      <formula>1.2</formula>
    </cfRule>
  </conditionalFormatting>
  <conditionalFormatting sqref="AD42">
    <cfRule type="cellIs" dxfId="1196" priority="1088" stopIfTrue="1" operator="lessThan">
      <formula>0.8</formula>
    </cfRule>
  </conditionalFormatting>
  <conditionalFormatting sqref="AD42">
    <cfRule type="cellIs" dxfId="1195" priority="1087" stopIfTrue="1" operator="greaterThan">
      <formula>1.2</formula>
    </cfRule>
  </conditionalFormatting>
  <conditionalFormatting sqref="AD43">
    <cfRule type="cellIs" dxfId="1194" priority="1086" stopIfTrue="1" operator="between">
      <formula>0.8</formula>
      <formula>1.2</formula>
    </cfRule>
  </conditionalFormatting>
  <conditionalFormatting sqref="AD43">
    <cfRule type="cellIs" dxfId="1193" priority="1085" stopIfTrue="1" operator="lessThan">
      <formula>0.8</formula>
    </cfRule>
  </conditionalFormatting>
  <conditionalFormatting sqref="AD43">
    <cfRule type="cellIs" dxfId="1192" priority="1084" stopIfTrue="1" operator="greaterThan">
      <formula>1.2</formula>
    </cfRule>
  </conditionalFormatting>
  <conditionalFormatting sqref="AD44">
    <cfRule type="cellIs" dxfId="1191" priority="1083" stopIfTrue="1" operator="between">
      <formula>0.8</formula>
      <formula>1.2</formula>
    </cfRule>
  </conditionalFormatting>
  <conditionalFormatting sqref="AD44">
    <cfRule type="cellIs" dxfId="1190" priority="1082" stopIfTrue="1" operator="lessThan">
      <formula>0.8</formula>
    </cfRule>
  </conditionalFormatting>
  <conditionalFormatting sqref="AD44">
    <cfRule type="cellIs" dxfId="1189" priority="1081" stopIfTrue="1" operator="greaterThan">
      <formula>1.2</formula>
    </cfRule>
  </conditionalFormatting>
  <conditionalFormatting sqref="AE25">
    <cfRule type="cellIs" dxfId="1188" priority="1080" stopIfTrue="1" operator="between">
      <formula>0.8</formula>
      <formula>1.2</formula>
    </cfRule>
  </conditionalFormatting>
  <conditionalFormatting sqref="AE25">
    <cfRule type="cellIs" dxfId="1187" priority="1079" stopIfTrue="1" operator="lessThan">
      <formula>0.8</formula>
    </cfRule>
  </conditionalFormatting>
  <conditionalFormatting sqref="AE25">
    <cfRule type="cellIs" dxfId="1186" priority="1078" stopIfTrue="1" operator="greaterThan">
      <formula>1.2</formula>
    </cfRule>
  </conditionalFormatting>
  <conditionalFormatting sqref="AE26">
    <cfRule type="cellIs" dxfId="1185" priority="1077" stopIfTrue="1" operator="between">
      <formula>0.8</formula>
      <formula>1.2</formula>
    </cfRule>
  </conditionalFormatting>
  <conditionalFormatting sqref="AE26">
    <cfRule type="cellIs" dxfId="1184" priority="1076" stopIfTrue="1" operator="lessThan">
      <formula>0.8</formula>
    </cfRule>
  </conditionalFormatting>
  <conditionalFormatting sqref="AE26">
    <cfRule type="cellIs" dxfId="1183" priority="1075" stopIfTrue="1" operator="greaterThan">
      <formula>1.2</formula>
    </cfRule>
  </conditionalFormatting>
  <conditionalFormatting sqref="AE27">
    <cfRule type="cellIs" dxfId="1182" priority="1074" stopIfTrue="1" operator="between">
      <formula>0.8</formula>
      <formula>1.2</formula>
    </cfRule>
  </conditionalFormatting>
  <conditionalFormatting sqref="AE27">
    <cfRule type="cellIs" dxfId="1181" priority="1073" stopIfTrue="1" operator="lessThan">
      <formula>0.8</formula>
    </cfRule>
  </conditionalFormatting>
  <conditionalFormatting sqref="AE27">
    <cfRule type="cellIs" dxfId="1180" priority="1072" stopIfTrue="1" operator="greaterThan">
      <formula>1.2</formula>
    </cfRule>
  </conditionalFormatting>
  <conditionalFormatting sqref="AE28">
    <cfRule type="cellIs" dxfId="1179" priority="1071" stopIfTrue="1" operator="between">
      <formula>0.8</formula>
      <formula>1.2</formula>
    </cfRule>
  </conditionalFormatting>
  <conditionalFormatting sqref="AE28">
    <cfRule type="cellIs" dxfId="1178" priority="1070" stopIfTrue="1" operator="lessThan">
      <formula>0.8</formula>
    </cfRule>
  </conditionalFormatting>
  <conditionalFormatting sqref="AE28">
    <cfRule type="cellIs" dxfId="1177" priority="1069" stopIfTrue="1" operator="greaterThan">
      <formula>1.2</formula>
    </cfRule>
  </conditionalFormatting>
  <conditionalFormatting sqref="AE29">
    <cfRule type="cellIs" dxfId="1176" priority="1068" stopIfTrue="1" operator="between">
      <formula>0.8</formula>
      <formula>1.2</formula>
    </cfRule>
  </conditionalFormatting>
  <conditionalFormatting sqref="AE29">
    <cfRule type="cellIs" dxfId="1175" priority="1067" stopIfTrue="1" operator="lessThan">
      <formula>0.8</formula>
    </cfRule>
  </conditionalFormatting>
  <conditionalFormatting sqref="AE29">
    <cfRule type="cellIs" dxfId="1174" priority="1066" stopIfTrue="1" operator="greaterThan">
      <formula>1.2</formula>
    </cfRule>
  </conditionalFormatting>
  <conditionalFormatting sqref="AE30">
    <cfRule type="cellIs" dxfId="1173" priority="1065" stopIfTrue="1" operator="between">
      <formula>0.8</formula>
      <formula>1.2</formula>
    </cfRule>
  </conditionalFormatting>
  <conditionalFormatting sqref="AE30">
    <cfRule type="cellIs" dxfId="1172" priority="1064" stopIfTrue="1" operator="lessThan">
      <formula>0.8</formula>
    </cfRule>
  </conditionalFormatting>
  <conditionalFormatting sqref="AE30">
    <cfRule type="cellIs" dxfId="1171" priority="1063" stopIfTrue="1" operator="greaterThan">
      <formula>1.2</formula>
    </cfRule>
  </conditionalFormatting>
  <conditionalFormatting sqref="AE31">
    <cfRule type="cellIs" dxfId="1170" priority="1062" stopIfTrue="1" operator="between">
      <formula>0.8</formula>
      <formula>1.2</formula>
    </cfRule>
  </conditionalFormatting>
  <conditionalFormatting sqref="AE31">
    <cfRule type="cellIs" dxfId="1169" priority="1061" stopIfTrue="1" operator="lessThan">
      <formula>0.8</formula>
    </cfRule>
  </conditionalFormatting>
  <conditionalFormatting sqref="AE31">
    <cfRule type="cellIs" dxfId="1168" priority="1060" stopIfTrue="1" operator="greaterThan">
      <formula>1.2</formula>
    </cfRule>
  </conditionalFormatting>
  <conditionalFormatting sqref="AE32">
    <cfRule type="cellIs" dxfId="1167" priority="1059" stopIfTrue="1" operator="between">
      <formula>0.8</formula>
      <formula>1.2</formula>
    </cfRule>
  </conditionalFormatting>
  <conditionalFormatting sqref="AE32">
    <cfRule type="cellIs" dxfId="1166" priority="1058" stopIfTrue="1" operator="lessThan">
      <formula>0.8</formula>
    </cfRule>
  </conditionalFormatting>
  <conditionalFormatting sqref="AE32">
    <cfRule type="cellIs" dxfId="1165" priority="1057" stopIfTrue="1" operator="greaterThan">
      <formula>1.2</formula>
    </cfRule>
  </conditionalFormatting>
  <conditionalFormatting sqref="AE33">
    <cfRule type="cellIs" dxfId="1164" priority="1056" stopIfTrue="1" operator="between">
      <formula>0.8</formula>
      <formula>1.2</formula>
    </cfRule>
  </conditionalFormatting>
  <conditionalFormatting sqref="AE33">
    <cfRule type="cellIs" dxfId="1163" priority="1055" stopIfTrue="1" operator="lessThan">
      <formula>0.8</formula>
    </cfRule>
  </conditionalFormatting>
  <conditionalFormatting sqref="AE33">
    <cfRule type="cellIs" dxfId="1162" priority="1054" stopIfTrue="1" operator="greaterThan">
      <formula>1.2</formula>
    </cfRule>
  </conditionalFormatting>
  <conditionalFormatting sqref="AE34">
    <cfRule type="cellIs" dxfId="1161" priority="1053" stopIfTrue="1" operator="between">
      <formula>0.8</formula>
      <formula>1.2</formula>
    </cfRule>
  </conditionalFormatting>
  <conditionalFormatting sqref="AE34">
    <cfRule type="cellIs" dxfId="1160" priority="1052" stopIfTrue="1" operator="lessThan">
      <formula>0.8</formula>
    </cfRule>
  </conditionalFormatting>
  <conditionalFormatting sqref="AE34">
    <cfRule type="cellIs" dxfId="1159" priority="1051" stopIfTrue="1" operator="greaterThan">
      <formula>1.2</formula>
    </cfRule>
  </conditionalFormatting>
  <conditionalFormatting sqref="AE35">
    <cfRule type="cellIs" dxfId="1158" priority="1050" stopIfTrue="1" operator="between">
      <formula>0.8</formula>
      <formula>1.2</formula>
    </cfRule>
  </conditionalFormatting>
  <conditionalFormatting sqref="AE35">
    <cfRule type="cellIs" dxfId="1157" priority="1049" stopIfTrue="1" operator="lessThan">
      <formula>0.8</formula>
    </cfRule>
  </conditionalFormatting>
  <conditionalFormatting sqref="AE35">
    <cfRule type="cellIs" dxfId="1156" priority="1048" stopIfTrue="1" operator="greaterThan">
      <formula>1.2</formula>
    </cfRule>
  </conditionalFormatting>
  <conditionalFormatting sqref="AE36">
    <cfRule type="cellIs" dxfId="1155" priority="1047" stopIfTrue="1" operator="between">
      <formula>0.8</formula>
      <formula>1.2</formula>
    </cfRule>
  </conditionalFormatting>
  <conditionalFormatting sqref="AE36">
    <cfRule type="cellIs" dxfId="1154" priority="1046" stopIfTrue="1" operator="lessThan">
      <formula>0.8</formula>
    </cfRule>
  </conditionalFormatting>
  <conditionalFormatting sqref="AE36">
    <cfRule type="cellIs" dxfId="1153" priority="1045" stopIfTrue="1" operator="greaterThan">
      <formula>1.2</formula>
    </cfRule>
  </conditionalFormatting>
  <conditionalFormatting sqref="AE37">
    <cfRule type="cellIs" dxfId="1152" priority="1044" stopIfTrue="1" operator="between">
      <formula>0.8</formula>
      <formula>1.2</formula>
    </cfRule>
  </conditionalFormatting>
  <conditionalFormatting sqref="AE37">
    <cfRule type="cellIs" dxfId="1151" priority="1043" stopIfTrue="1" operator="lessThan">
      <formula>0.8</formula>
    </cfRule>
  </conditionalFormatting>
  <conditionalFormatting sqref="AE37">
    <cfRule type="cellIs" dxfId="1150" priority="1042" stopIfTrue="1" operator="greaterThan">
      <formula>1.2</formula>
    </cfRule>
  </conditionalFormatting>
  <conditionalFormatting sqref="AE38">
    <cfRule type="cellIs" dxfId="1149" priority="1041" stopIfTrue="1" operator="between">
      <formula>0.8</formula>
      <formula>1.2</formula>
    </cfRule>
  </conditionalFormatting>
  <conditionalFormatting sqref="AE38">
    <cfRule type="cellIs" dxfId="1148" priority="1040" stopIfTrue="1" operator="lessThan">
      <formula>0.8</formula>
    </cfRule>
  </conditionalFormatting>
  <conditionalFormatting sqref="AE38">
    <cfRule type="cellIs" dxfId="1147" priority="1039" stopIfTrue="1" operator="greaterThan">
      <formula>1.2</formula>
    </cfRule>
  </conditionalFormatting>
  <conditionalFormatting sqref="AE39">
    <cfRule type="cellIs" dxfId="1146" priority="1038" stopIfTrue="1" operator="between">
      <formula>0.8</formula>
      <formula>1.2</formula>
    </cfRule>
  </conditionalFormatting>
  <conditionalFormatting sqref="AE39">
    <cfRule type="cellIs" dxfId="1145" priority="1037" stopIfTrue="1" operator="lessThan">
      <formula>0.8</formula>
    </cfRule>
  </conditionalFormatting>
  <conditionalFormatting sqref="AE39">
    <cfRule type="cellIs" dxfId="1144" priority="1036" stopIfTrue="1" operator="greaterThan">
      <formula>1.2</formula>
    </cfRule>
  </conditionalFormatting>
  <conditionalFormatting sqref="AE40">
    <cfRule type="cellIs" dxfId="1143" priority="1035" stopIfTrue="1" operator="between">
      <formula>0.8</formula>
      <formula>1.2</formula>
    </cfRule>
  </conditionalFormatting>
  <conditionalFormatting sqref="AE40">
    <cfRule type="cellIs" dxfId="1142" priority="1034" stopIfTrue="1" operator="lessThan">
      <formula>0.8</formula>
    </cfRule>
  </conditionalFormatting>
  <conditionalFormatting sqref="AE40">
    <cfRule type="cellIs" dxfId="1141" priority="1033" stopIfTrue="1" operator="greaterThan">
      <formula>1.2</formula>
    </cfRule>
  </conditionalFormatting>
  <conditionalFormatting sqref="AE41">
    <cfRule type="cellIs" dxfId="1140" priority="1032" stopIfTrue="1" operator="between">
      <formula>0.8</formula>
      <formula>1.2</formula>
    </cfRule>
  </conditionalFormatting>
  <conditionalFormatting sqref="AE41">
    <cfRule type="cellIs" dxfId="1139" priority="1031" stopIfTrue="1" operator="lessThan">
      <formula>0.8</formula>
    </cfRule>
  </conditionalFormatting>
  <conditionalFormatting sqref="AE41">
    <cfRule type="cellIs" dxfId="1138" priority="1030" stopIfTrue="1" operator="greaterThan">
      <formula>1.2</formula>
    </cfRule>
  </conditionalFormatting>
  <conditionalFormatting sqref="AE42">
    <cfRule type="cellIs" dxfId="1137" priority="1029" stopIfTrue="1" operator="between">
      <formula>0.8</formula>
      <formula>1.2</formula>
    </cfRule>
  </conditionalFormatting>
  <conditionalFormatting sqref="AE42">
    <cfRule type="cellIs" dxfId="1136" priority="1028" stopIfTrue="1" operator="lessThan">
      <formula>0.8</formula>
    </cfRule>
  </conditionalFormatting>
  <conditionalFormatting sqref="AE42">
    <cfRule type="cellIs" dxfId="1135" priority="1027" stopIfTrue="1" operator="greaterThan">
      <formula>1.2</formula>
    </cfRule>
  </conditionalFormatting>
  <conditionalFormatting sqref="AE43">
    <cfRule type="cellIs" dxfId="1134" priority="1026" stopIfTrue="1" operator="between">
      <formula>0.8</formula>
      <formula>1.2</formula>
    </cfRule>
  </conditionalFormatting>
  <conditionalFormatting sqref="AE43">
    <cfRule type="cellIs" dxfId="1133" priority="1025" stopIfTrue="1" operator="lessThan">
      <formula>0.8</formula>
    </cfRule>
  </conditionalFormatting>
  <conditionalFormatting sqref="AE43">
    <cfRule type="cellIs" dxfId="1132" priority="1024" stopIfTrue="1" operator="greaterThan">
      <formula>1.2</formula>
    </cfRule>
  </conditionalFormatting>
  <conditionalFormatting sqref="AE44">
    <cfRule type="cellIs" dxfId="1131" priority="1023" stopIfTrue="1" operator="between">
      <formula>0.8</formula>
      <formula>1.2</formula>
    </cfRule>
  </conditionalFormatting>
  <conditionalFormatting sqref="AE44">
    <cfRule type="cellIs" dxfId="1130" priority="1022" stopIfTrue="1" operator="lessThan">
      <formula>0.8</formula>
    </cfRule>
  </conditionalFormatting>
  <conditionalFormatting sqref="AE44">
    <cfRule type="cellIs" dxfId="1129" priority="1021" stopIfTrue="1" operator="greaterThan">
      <formula>1.2</formula>
    </cfRule>
  </conditionalFormatting>
  <conditionalFormatting sqref="AF25">
    <cfRule type="cellIs" dxfId="1128" priority="1020" stopIfTrue="1" operator="between">
      <formula>0.8</formula>
      <formula>1.2</formula>
    </cfRule>
  </conditionalFormatting>
  <conditionalFormatting sqref="AF25">
    <cfRule type="cellIs" dxfId="1127" priority="1019" stopIfTrue="1" operator="lessThan">
      <formula>0.8</formula>
    </cfRule>
  </conditionalFormatting>
  <conditionalFormatting sqref="AF25">
    <cfRule type="cellIs" dxfId="1126" priority="1018" stopIfTrue="1" operator="greaterThan">
      <formula>1.2</formula>
    </cfRule>
  </conditionalFormatting>
  <conditionalFormatting sqref="AF26">
    <cfRule type="cellIs" dxfId="1125" priority="1017" stopIfTrue="1" operator="between">
      <formula>0.8</formula>
      <formula>1.2</formula>
    </cfRule>
  </conditionalFormatting>
  <conditionalFormatting sqref="AF26">
    <cfRule type="cellIs" dxfId="1124" priority="1016" stopIfTrue="1" operator="lessThan">
      <formula>0.8</formula>
    </cfRule>
  </conditionalFormatting>
  <conditionalFormatting sqref="AF26">
    <cfRule type="cellIs" dxfId="1123" priority="1015" stopIfTrue="1" operator="greaterThan">
      <formula>1.2</formula>
    </cfRule>
  </conditionalFormatting>
  <conditionalFormatting sqref="AF27">
    <cfRule type="cellIs" dxfId="1122" priority="1014" stopIfTrue="1" operator="between">
      <formula>0.8</formula>
      <formula>1.2</formula>
    </cfRule>
  </conditionalFormatting>
  <conditionalFormatting sqref="AF27">
    <cfRule type="cellIs" dxfId="1121" priority="1013" stopIfTrue="1" operator="lessThan">
      <formula>0.8</formula>
    </cfRule>
  </conditionalFormatting>
  <conditionalFormatting sqref="AF27">
    <cfRule type="cellIs" dxfId="1120" priority="1012" stopIfTrue="1" operator="greaterThan">
      <formula>1.2</formula>
    </cfRule>
  </conditionalFormatting>
  <conditionalFormatting sqref="AF28">
    <cfRule type="cellIs" dxfId="1119" priority="1011" stopIfTrue="1" operator="between">
      <formula>0.8</formula>
      <formula>1.2</formula>
    </cfRule>
  </conditionalFormatting>
  <conditionalFormatting sqref="AF28">
    <cfRule type="cellIs" dxfId="1118" priority="1010" stopIfTrue="1" operator="lessThan">
      <formula>0.8</formula>
    </cfRule>
  </conditionalFormatting>
  <conditionalFormatting sqref="AF28">
    <cfRule type="cellIs" dxfId="1117" priority="1009" stopIfTrue="1" operator="greaterThan">
      <formula>1.2</formula>
    </cfRule>
  </conditionalFormatting>
  <conditionalFormatting sqref="AF29">
    <cfRule type="cellIs" dxfId="1116" priority="1008" stopIfTrue="1" operator="between">
      <formula>0.8</formula>
      <formula>1.2</formula>
    </cfRule>
  </conditionalFormatting>
  <conditionalFormatting sqref="AF29">
    <cfRule type="cellIs" dxfId="1115" priority="1007" stopIfTrue="1" operator="lessThan">
      <formula>0.8</formula>
    </cfRule>
  </conditionalFormatting>
  <conditionalFormatting sqref="AF29">
    <cfRule type="cellIs" dxfId="1114" priority="1006" stopIfTrue="1" operator="greaterThan">
      <formula>1.2</formula>
    </cfRule>
  </conditionalFormatting>
  <conditionalFormatting sqref="AF30">
    <cfRule type="cellIs" dxfId="1113" priority="1005" stopIfTrue="1" operator="between">
      <formula>0.8</formula>
      <formula>1.2</formula>
    </cfRule>
  </conditionalFormatting>
  <conditionalFormatting sqref="AF30">
    <cfRule type="cellIs" dxfId="1112" priority="1004" stopIfTrue="1" operator="lessThan">
      <formula>0.8</formula>
    </cfRule>
  </conditionalFormatting>
  <conditionalFormatting sqref="AF30">
    <cfRule type="cellIs" dxfId="1111" priority="1003" stopIfTrue="1" operator="greaterThan">
      <formula>1.2</formula>
    </cfRule>
  </conditionalFormatting>
  <conditionalFormatting sqref="AF31">
    <cfRule type="cellIs" dxfId="1110" priority="1002" stopIfTrue="1" operator="between">
      <formula>0.8</formula>
      <formula>1.2</formula>
    </cfRule>
  </conditionalFormatting>
  <conditionalFormatting sqref="AF31">
    <cfRule type="cellIs" dxfId="1109" priority="1001" stopIfTrue="1" operator="lessThan">
      <formula>0.8</formula>
    </cfRule>
  </conditionalFormatting>
  <conditionalFormatting sqref="AF31">
    <cfRule type="cellIs" dxfId="1108" priority="1000" stopIfTrue="1" operator="greaterThan">
      <formula>1.2</formula>
    </cfRule>
  </conditionalFormatting>
  <conditionalFormatting sqref="AF32">
    <cfRule type="cellIs" dxfId="1107" priority="999" stopIfTrue="1" operator="between">
      <formula>0.8</formula>
      <formula>1.2</formula>
    </cfRule>
  </conditionalFormatting>
  <conditionalFormatting sqref="AF32">
    <cfRule type="cellIs" dxfId="1106" priority="998" stopIfTrue="1" operator="lessThan">
      <formula>0.8</formula>
    </cfRule>
  </conditionalFormatting>
  <conditionalFormatting sqref="AF32">
    <cfRule type="cellIs" dxfId="1105" priority="997" stopIfTrue="1" operator="greaterThan">
      <formula>1.2</formula>
    </cfRule>
  </conditionalFormatting>
  <conditionalFormatting sqref="AF33">
    <cfRule type="cellIs" dxfId="1104" priority="996" stopIfTrue="1" operator="between">
      <formula>0.8</formula>
      <formula>1.2</formula>
    </cfRule>
  </conditionalFormatting>
  <conditionalFormatting sqref="AF33">
    <cfRule type="cellIs" dxfId="1103" priority="995" stopIfTrue="1" operator="lessThan">
      <formula>0.8</formula>
    </cfRule>
  </conditionalFormatting>
  <conditionalFormatting sqref="AF33">
    <cfRule type="cellIs" dxfId="1102" priority="994" stopIfTrue="1" operator="greaterThan">
      <formula>1.2</formula>
    </cfRule>
  </conditionalFormatting>
  <conditionalFormatting sqref="AF34">
    <cfRule type="cellIs" dxfId="1101" priority="993" stopIfTrue="1" operator="between">
      <formula>0.8</formula>
      <formula>1.2</formula>
    </cfRule>
  </conditionalFormatting>
  <conditionalFormatting sqref="AF34">
    <cfRule type="cellIs" dxfId="1100" priority="992" stopIfTrue="1" operator="lessThan">
      <formula>0.8</formula>
    </cfRule>
  </conditionalFormatting>
  <conditionalFormatting sqref="AF34">
    <cfRule type="cellIs" dxfId="1099" priority="991" stopIfTrue="1" operator="greaterThan">
      <formula>1.2</formula>
    </cfRule>
  </conditionalFormatting>
  <conditionalFormatting sqref="AF35">
    <cfRule type="cellIs" dxfId="1098" priority="990" stopIfTrue="1" operator="between">
      <formula>0.8</formula>
      <formula>1.2</formula>
    </cfRule>
  </conditionalFormatting>
  <conditionalFormatting sqref="AF35">
    <cfRule type="cellIs" dxfId="1097" priority="989" stopIfTrue="1" operator="lessThan">
      <formula>0.8</formula>
    </cfRule>
  </conditionalFormatting>
  <conditionalFormatting sqref="AF35">
    <cfRule type="cellIs" dxfId="1096" priority="988" stopIfTrue="1" operator="greaterThan">
      <formula>1.2</formula>
    </cfRule>
  </conditionalFormatting>
  <conditionalFormatting sqref="AF36">
    <cfRule type="cellIs" dxfId="1095" priority="987" stopIfTrue="1" operator="between">
      <formula>0.8</formula>
      <formula>1.2</formula>
    </cfRule>
  </conditionalFormatting>
  <conditionalFormatting sqref="AF36">
    <cfRule type="cellIs" dxfId="1094" priority="986" stopIfTrue="1" operator="lessThan">
      <formula>0.8</formula>
    </cfRule>
  </conditionalFormatting>
  <conditionalFormatting sqref="AF36">
    <cfRule type="cellIs" dxfId="1093" priority="985" stopIfTrue="1" operator="greaterThan">
      <formula>1.2</formula>
    </cfRule>
  </conditionalFormatting>
  <conditionalFormatting sqref="AF37">
    <cfRule type="cellIs" dxfId="1092" priority="984" stopIfTrue="1" operator="between">
      <formula>0.8</formula>
      <formula>1.2</formula>
    </cfRule>
  </conditionalFormatting>
  <conditionalFormatting sqref="AF37">
    <cfRule type="cellIs" dxfId="1091" priority="983" stopIfTrue="1" operator="lessThan">
      <formula>0.8</formula>
    </cfRule>
  </conditionalFormatting>
  <conditionalFormatting sqref="AF37">
    <cfRule type="cellIs" dxfId="1090" priority="982" stopIfTrue="1" operator="greaterThan">
      <formula>1.2</formula>
    </cfRule>
  </conditionalFormatting>
  <conditionalFormatting sqref="AF38">
    <cfRule type="cellIs" dxfId="1089" priority="981" stopIfTrue="1" operator="between">
      <formula>0.8</formula>
      <formula>1.2</formula>
    </cfRule>
  </conditionalFormatting>
  <conditionalFormatting sqref="AF38">
    <cfRule type="cellIs" dxfId="1088" priority="980" stopIfTrue="1" operator="lessThan">
      <formula>0.8</formula>
    </cfRule>
  </conditionalFormatting>
  <conditionalFormatting sqref="AF38">
    <cfRule type="cellIs" dxfId="1087" priority="979" stopIfTrue="1" operator="greaterThan">
      <formula>1.2</formula>
    </cfRule>
  </conditionalFormatting>
  <conditionalFormatting sqref="AF39">
    <cfRule type="cellIs" dxfId="1086" priority="978" stopIfTrue="1" operator="between">
      <formula>0.8</formula>
      <formula>1.2</formula>
    </cfRule>
  </conditionalFormatting>
  <conditionalFormatting sqref="AF39">
    <cfRule type="cellIs" dxfId="1085" priority="977" stopIfTrue="1" operator="lessThan">
      <formula>0.8</formula>
    </cfRule>
  </conditionalFormatting>
  <conditionalFormatting sqref="AF39">
    <cfRule type="cellIs" dxfId="1084" priority="976" stopIfTrue="1" operator="greaterThan">
      <formula>1.2</formula>
    </cfRule>
  </conditionalFormatting>
  <conditionalFormatting sqref="AF40">
    <cfRule type="cellIs" dxfId="1083" priority="975" stopIfTrue="1" operator="between">
      <formula>0.8</formula>
      <formula>1.2</formula>
    </cfRule>
  </conditionalFormatting>
  <conditionalFormatting sqref="AF40">
    <cfRule type="cellIs" dxfId="1082" priority="974" stopIfTrue="1" operator="lessThan">
      <formula>0.8</formula>
    </cfRule>
  </conditionalFormatting>
  <conditionalFormatting sqref="AF40">
    <cfRule type="cellIs" dxfId="1081" priority="973" stopIfTrue="1" operator="greaterThan">
      <formula>1.2</formula>
    </cfRule>
  </conditionalFormatting>
  <conditionalFormatting sqref="AF41">
    <cfRule type="cellIs" dxfId="1080" priority="972" stopIfTrue="1" operator="between">
      <formula>0.8</formula>
      <formula>1.2</formula>
    </cfRule>
  </conditionalFormatting>
  <conditionalFormatting sqref="AF41">
    <cfRule type="cellIs" dxfId="1079" priority="971" stopIfTrue="1" operator="lessThan">
      <formula>0.8</formula>
    </cfRule>
  </conditionalFormatting>
  <conditionalFormatting sqref="AF41">
    <cfRule type="cellIs" dxfId="1078" priority="970" stopIfTrue="1" operator="greaterThan">
      <formula>1.2</formula>
    </cfRule>
  </conditionalFormatting>
  <conditionalFormatting sqref="AF42">
    <cfRule type="cellIs" dxfId="1077" priority="969" stopIfTrue="1" operator="between">
      <formula>0.8</formula>
      <formula>1.2</formula>
    </cfRule>
  </conditionalFormatting>
  <conditionalFormatting sqref="AF42">
    <cfRule type="cellIs" dxfId="1076" priority="968" stopIfTrue="1" operator="lessThan">
      <formula>0.8</formula>
    </cfRule>
  </conditionalFormatting>
  <conditionalFormatting sqref="AF42">
    <cfRule type="cellIs" dxfId="1075" priority="967" stopIfTrue="1" operator="greaterThan">
      <formula>1.2</formula>
    </cfRule>
  </conditionalFormatting>
  <conditionalFormatting sqref="AF43">
    <cfRule type="cellIs" dxfId="1074" priority="966" stopIfTrue="1" operator="between">
      <formula>0.8</formula>
      <formula>1.2</formula>
    </cfRule>
  </conditionalFormatting>
  <conditionalFormatting sqref="AF43">
    <cfRule type="cellIs" dxfId="1073" priority="965" stopIfTrue="1" operator="lessThan">
      <formula>0.8</formula>
    </cfRule>
  </conditionalFormatting>
  <conditionalFormatting sqref="AF43">
    <cfRule type="cellIs" dxfId="1072" priority="964" stopIfTrue="1" operator="greaterThan">
      <formula>1.2</formula>
    </cfRule>
  </conditionalFormatting>
  <conditionalFormatting sqref="AF44">
    <cfRule type="cellIs" dxfId="1071" priority="963" stopIfTrue="1" operator="between">
      <formula>0.8</formula>
      <formula>1.2</formula>
    </cfRule>
  </conditionalFormatting>
  <conditionalFormatting sqref="AF44">
    <cfRule type="cellIs" dxfId="1070" priority="962" stopIfTrue="1" operator="lessThan">
      <formula>0.8</formula>
    </cfRule>
  </conditionalFormatting>
  <conditionalFormatting sqref="AF44">
    <cfRule type="cellIs" dxfId="1069" priority="961" stopIfTrue="1" operator="greaterThan">
      <formula>1.2</formula>
    </cfRule>
  </conditionalFormatting>
  <conditionalFormatting sqref="AG25">
    <cfRule type="cellIs" dxfId="1068" priority="960" stopIfTrue="1" operator="between">
      <formula>0.8</formula>
      <formula>1.2</formula>
    </cfRule>
  </conditionalFormatting>
  <conditionalFormatting sqref="AG25">
    <cfRule type="cellIs" dxfId="1067" priority="959" stopIfTrue="1" operator="lessThan">
      <formula>0.8</formula>
    </cfRule>
  </conditionalFormatting>
  <conditionalFormatting sqref="AG25">
    <cfRule type="cellIs" dxfId="1066" priority="958" stopIfTrue="1" operator="greaterThan">
      <formula>1.2</formula>
    </cfRule>
  </conditionalFormatting>
  <conditionalFormatting sqref="AG26">
    <cfRule type="cellIs" dxfId="1065" priority="957" stopIfTrue="1" operator="between">
      <formula>0.8</formula>
      <formula>1.2</formula>
    </cfRule>
  </conditionalFormatting>
  <conditionalFormatting sqref="AG26">
    <cfRule type="cellIs" dxfId="1064" priority="956" stopIfTrue="1" operator="lessThan">
      <formula>0.8</formula>
    </cfRule>
  </conditionalFormatting>
  <conditionalFormatting sqref="AG26">
    <cfRule type="cellIs" dxfId="1063" priority="955" stopIfTrue="1" operator="greaterThan">
      <formula>1.2</formula>
    </cfRule>
  </conditionalFormatting>
  <conditionalFormatting sqref="AG27">
    <cfRule type="cellIs" dxfId="1062" priority="954" stopIfTrue="1" operator="between">
      <formula>0.8</formula>
      <formula>1.2</formula>
    </cfRule>
  </conditionalFormatting>
  <conditionalFormatting sqref="AG27">
    <cfRule type="cellIs" dxfId="1061" priority="953" stopIfTrue="1" operator="lessThan">
      <formula>0.8</formula>
    </cfRule>
  </conditionalFormatting>
  <conditionalFormatting sqref="AG27">
    <cfRule type="cellIs" dxfId="1060" priority="952" stopIfTrue="1" operator="greaterThan">
      <formula>1.2</formula>
    </cfRule>
  </conditionalFormatting>
  <conditionalFormatting sqref="AG28">
    <cfRule type="cellIs" dxfId="1059" priority="951" stopIfTrue="1" operator="between">
      <formula>0.8</formula>
      <formula>1.2</formula>
    </cfRule>
  </conditionalFormatting>
  <conditionalFormatting sqref="AG28">
    <cfRule type="cellIs" dxfId="1058" priority="950" stopIfTrue="1" operator="lessThan">
      <formula>0.8</formula>
    </cfRule>
  </conditionalFormatting>
  <conditionalFormatting sqref="AG28">
    <cfRule type="cellIs" dxfId="1057" priority="949" stopIfTrue="1" operator="greaterThan">
      <formula>1.2</formula>
    </cfRule>
  </conditionalFormatting>
  <conditionalFormatting sqref="AG29">
    <cfRule type="cellIs" dxfId="1056" priority="948" stopIfTrue="1" operator="between">
      <formula>0.8</formula>
      <formula>1.2</formula>
    </cfRule>
  </conditionalFormatting>
  <conditionalFormatting sqref="AG29">
    <cfRule type="cellIs" dxfId="1055" priority="947" stopIfTrue="1" operator="lessThan">
      <formula>0.8</formula>
    </cfRule>
  </conditionalFormatting>
  <conditionalFormatting sqref="AG29">
    <cfRule type="cellIs" dxfId="1054" priority="946" stopIfTrue="1" operator="greaterThan">
      <formula>1.2</formula>
    </cfRule>
  </conditionalFormatting>
  <conditionalFormatting sqref="AG30">
    <cfRule type="cellIs" dxfId="1053" priority="945" stopIfTrue="1" operator="between">
      <formula>0.8</formula>
      <formula>1.2</formula>
    </cfRule>
  </conditionalFormatting>
  <conditionalFormatting sqref="AG30">
    <cfRule type="cellIs" dxfId="1052" priority="944" stopIfTrue="1" operator="lessThan">
      <formula>0.8</formula>
    </cfRule>
  </conditionalFormatting>
  <conditionalFormatting sqref="AG30">
    <cfRule type="cellIs" dxfId="1051" priority="943" stopIfTrue="1" operator="greaterThan">
      <formula>1.2</formula>
    </cfRule>
  </conditionalFormatting>
  <conditionalFormatting sqref="AG31">
    <cfRule type="cellIs" dxfId="1050" priority="942" stopIfTrue="1" operator="between">
      <formula>0.8</formula>
      <formula>1.2</formula>
    </cfRule>
  </conditionalFormatting>
  <conditionalFormatting sqref="AG31">
    <cfRule type="cellIs" dxfId="1049" priority="941" stopIfTrue="1" operator="lessThan">
      <formula>0.8</formula>
    </cfRule>
  </conditionalFormatting>
  <conditionalFormatting sqref="AG31">
    <cfRule type="cellIs" dxfId="1048" priority="940" stopIfTrue="1" operator="greaterThan">
      <formula>1.2</formula>
    </cfRule>
  </conditionalFormatting>
  <conditionalFormatting sqref="AG32">
    <cfRule type="cellIs" dxfId="1047" priority="939" stopIfTrue="1" operator="between">
      <formula>0.8</formula>
      <formula>1.2</formula>
    </cfRule>
  </conditionalFormatting>
  <conditionalFormatting sqref="AG32">
    <cfRule type="cellIs" dxfId="1046" priority="938" stopIfTrue="1" operator="lessThan">
      <formula>0.8</formula>
    </cfRule>
  </conditionalFormatting>
  <conditionalFormatting sqref="AG32">
    <cfRule type="cellIs" dxfId="1045" priority="937" stopIfTrue="1" operator="greaterThan">
      <formula>1.2</formula>
    </cfRule>
  </conditionalFormatting>
  <conditionalFormatting sqref="AG33">
    <cfRule type="cellIs" dxfId="1044" priority="936" stopIfTrue="1" operator="between">
      <formula>0.8</formula>
      <formula>1.2</formula>
    </cfRule>
  </conditionalFormatting>
  <conditionalFormatting sqref="AG33">
    <cfRule type="cellIs" dxfId="1043" priority="935" stopIfTrue="1" operator="lessThan">
      <formula>0.8</formula>
    </cfRule>
  </conditionalFormatting>
  <conditionalFormatting sqref="AG33">
    <cfRule type="cellIs" dxfId="1042" priority="934" stopIfTrue="1" operator="greaterThan">
      <formula>1.2</formula>
    </cfRule>
  </conditionalFormatting>
  <conditionalFormatting sqref="AG34">
    <cfRule type="cellIs" dxfId="1041" priority="933" stopIfTrue="1" operator="between">
      <formula>0.8</formula>
      <formula>1.2</formula>
    </cfRule>
  </conditionalFormatting>
  <conditionalFormatting sqref="AG34">
    <cfRule type="cellIs" dxfId="1040" priority="932" stopIfTrue="1" operator="lessThan">
      <formula>0.8</formula>
    </cfRule>
  </conditionalFormatting>
  <conditionalFormatting sqref="AG34">
    <cfRule type="cellIs" dxfId="1039" priority="931" stopIfTrue="1" operator="greaterThan">
      <formula>1.2</formula>
    </cfRule>
  </conditionalFormatting>
  <conditionalFormatting sqref="AG35">
    <cfRule type="cellIs" dxfId="1038" priority="930" stopIfTrue="1" operator="between">
      <formula>0.8</formula>
      <formula>1.2</formula>
    </cfRule>
  </conditionalFormatting>
  <conditionalFormatting sqref="AG35">
    <cfRule type="cellIs" dxfId="1037" priority="929" stopIfTrue="1" operator="lessThan">
      <formula>0.8</formula>
    </cfRule>
  </conditionalFormatting>
  <conditionalFormatting sqref="AG35">
    <cfRule type="cellIs" dxfId="1036" priority="928" stopIfTrue="1" operator="greaterThan">
      <formula>1.2</formula>
    </cfRule>
  </conditionalFormatting>
  <conditionalFormatting sqref="AG36">
    <cfRule type="cellIs" dxfId="1035" priority="927" stopIfTrue="1" operator="between">
      <formula>0.8</formula>
      <formula>1.2</formula>
    </cfRule>
  </conditionalFormatting>
  <conditionalFormatting sqref="AG36">
    <cfRule type="cellIs" dxfId="1034" priority="926" stopIfTrue="1" operator="lessThan">
      <formula>0.8</formula>
    </cfRule>
  </conditionalFormatting>
  <conditionalFormatting sqref="AG36">
    <cfRule type="cellIs" dxfId="1033" priority="925" stopIfTrue="1" operator="greaterThan">
      <formula>1.2</formula>
    </cfRule>
  </conditionalFormatting>
  <conditionalFormatting sqref="AG37">
    <cfRule type="cellIs" dxfId="1032" priority="924" stopIfTrue="1" operator="between">
      <formula>0.8</formula>
      <formula>1.2</formula>
    </cfRule>
  </conditionalFormatting>
  <conditionalFormatting sqref="AG37">
    <cfRule type="cellIs" dxfId="1031" priority="923" stopIfTrue="1" operator="lessThan">
      <formula>0.8</formula>
    </cfRule>
  </conditionalFormatting>
  <conditionalFormatting sqref="AG37">
    <cfRule type="cellIs" dxfId="1030" priority="922" stopIfTrue="1" operator="greaterThan">
      <formula>1.2</formula>
    </cfRule>
  </conditionalFormatting>
  <conditionalFormatting sqref="AG38">
    <cfRule type="cellIs" dxfId="1029" priority="921" stopIfTrue="1" operator="between">
      <formula>0.8</formula>
      <formula>1.2</formula>
    </cfRule>
  </conditionalFormatting>
  <conditionalFormatting sqref="AG38">
    <cfRule type="cellIs" dxfId="1028" priority="920" stopIfTrue="1" operator="lessThan">
      <formula>0.8</formula>
    </cfRule>
  </conditionalFormatting>
  <conditionalFormatting sqref="AG38">
    <cfRule type="cellIs" dxfId="1027" priority="919" stopIfTrue="1" operator="greaterThan">
      <formula>1.2</formula>
    </cfRule>
  </conditionalFormatting>
  <conditionalFormatting sqref="AG39">
    <cfRule type="cellIs" dxfId="1026" priority="918" stopIfTrue="1" operator="between">
      <formula>0.8</formula>
      <formula>1.2</formula>
    </cfRule>
  </conditionalFormatting>
  <conditionalFormatting sqref="AG39">
    <cfRule type="cellIs" dxfId="1025" priority="917" stopIfTrue="1" operator="lessThan">
      <formula>0.8</formula>
    </cfRule>
  </conditionalFormatting>
  <conditionalFormatting sqref="AG39">
    <cfRule type="cellIs" dxfId="1024" priority="916" stopIfTrue="1" operator="greaterThan">
      <formula>1.2</formula>
    </cfRule>
  </conditionalFormatting>
  <conditionalFormatting sqref="AG40">
    <cfRule type="cellIs" dxfId="1023" priority="915" stopIfTrue="1" operator="between">
      <formula>0.8</formula>
      <formula>1.2</formula>
    </cfRule>
  </conditionalFormatting>
  <conditionalFormatting sqref="AG40">
    <cfRule type="cellIs" dxfId="1022" priority="914" stopIfTrue="1" operator="lessThan">
      <formula>0.8</formula>
    </cfRule>
  </conditionalFormatting>
  <conditionalFormatting sqref="AG40">
    <cfRule type="cellIs" dxfId="1021" priority="913" stopIfTrue="1" operator="greaterThan">
      <formula>1.2</formula>
    </cfRule>
  </conditionalFormatting>
  <conditionalFormatting sqref="AG41">
    <cfRule type="cellIs" dxfId="1020" priority="912" stopIfTrue="1" operator="between">
      <formula>0.8</formula>
      <formula>1.2</formula>
    </cfRule>
  </conditionalFormatting>
  <conditionalFormatting sqref="AG41">
    <cfRule type="cellIs" dxfId="1019" priority="911" stopIfTrue="1" operator="lessThan">
      <formula>0.8</formula>
    </cfRule>
  </conditionalFormatting>
  <conditionalFormatting sqref="AG41">
    <cfRule type="cellIs" dxfId="1018" priority="910" stopIfTrue="1" operator="greaterThan">
      <formula>1.2</formula>
    </cfRule>
  </conditionalFormatting>
  <conditionalFormatting sqref="AG42">
    <cfRule type="cellIs" dxfId="1017" priority="909" stopIfTrue="1" operator="between">
      <formula>0.8</formula>
      <formula>1.2</formula>
    </cfRule>
  </conditionalFormatting>
  <conditionalFormatting sqref="AG42">
    <cfRule type="cellIs" dxfId="1016" priority="908" stopIfTrue="1" operator="lessThan">
      <formula>0.8</formula>
    </cfRule>
  </conditionalFormatting>
  <conditionalFormatting sqref="AG42">
    <cfRule type="cellIs" dxfId="1015" priority="907" stopIfTrue="1" operator="greaterThan">
      <formula>1.2</formula>
    </cfRule>
  </conditionalFormatting>
  <conditionalFormatting sqref="AG43">
    <cfRule type="cellIs" dxfId="1014" priority="906" stopIfTrue="1" operator="between">
      <formula>0.8</formula>
      <formula>1.2</formula>
    </cfRule>
  </conditionalFormatting>
  <conditionalFormatting sqref="AG43">
    <cfRule type="cellIs" dxfId="1013" priority="905" stopIfTrue="1" operator="lessThan">
      <formula>0.8</formula>
    </cfRule>
  </conditionalFormatting>
  <conditionalFormatting sqref="AG43">
    <cfRule type="cellIs" dxfId="1012" priority="904" stopIfTrue="1" operator="greaterThan">
      <formula>1.2</formula>
    </cfRule>
  </conditionalFormatting>
  <conditionalFormatting sqref="AG44">
    <cfRule type="cellIs" dxfId="1011" priority="903" stopIfTrue="1" operator="between">
      <formula>0.8</formula>
      <formula>1.2</formula>
    </cfRule>
  </conditionalFormatting>
  <conditionalFormatting sqref="AG44">
    <cfRule type="cellIs" dxfId="1010" priority="902" stopIfTrue="1" operator="lessThan">
      <formula>0.8</formula>
    </cfRule>
  </conditionalFormatting>
  <conditionalFormatting sqref="AG44">
    <cfRule type="cellIs" dxfId="1009" priority="901" stopIfTrue="1" operator="greaterThan">
      <formula>1.2</formula>
    </cfRule>
  </conditionalFormatting>
  <conditionalFormatting sqref="AH25">
    <cfRule type="cellIs" dxfId="1008" priority="900" stopIfTrue="1" operator="between">
      <formula>0.8</formula>
      <formula>1.2</formula>
    </cfRule>
  </conditionalFormatting>
  <conditionalFormatting sqref="AH25">
    <cfRule type="cellIs" dxfId="1007" priority="899" stopIfTrue="1" operator="lessThan">
      <formula>0.8</formula>
    </cfRule>
  </conditionalFormatting>
  <conditionalFormatting sqref="AH25">
    <cfRule type="cellIs" dxfId="1006" priority="898" stopIfTrue="1" operator="greaterThan">
      <formula>1.2</formula>
    </cfRule>
  </conditionalFormatting>
  <conditionalFormatting sqref="AH26">
    <cfRule type="cellIs" dxfId="1005" priority="897" stopIfTrue="1" operator="between">
      <formula>0.8</formula>
      <formula>1.2</formula>
    </cfRule>
  </conditionalFormatting>
  <conditionalFormatting sqref="AH26">
    <cfRule type="cellIs" dxfId="1004" priority="896" stopIfTrue="1" operator="lessThan">
      <formula>0.8</formula>
    </cfRule>
  </conditionalFormatting>
  <conditionalFormatting sqref="AH26">
    <cfRule type="cellIs" dxfId="1003" priority="895" stopIfTrue="1" operator="greaterThan">
      <formula>1.2</formula>
    </cfRule>
  </conditionalFormatting>
  <conditionalFormatting sqref="AH27">
    <cfRule type="cellIs" dxfId="1002" priority="894" stopIfTrue="1" operator="between">
      <formula>0.8</formula>
      <formula>1.2</formula>
    </cfRule>
  </conditionalFormatting>
  <conditionalFormatting sqref="AH27">
    <cfRule type="cellIs" dxfId="1001" priority="893" stopIfTrue="1" operator="lessThan">
      <formula>0.8</formula>
    </cfRule>
  </conditionalFormatting>
  <conditionalFormatting sqref="AH27">
    <cfRule type="cellIs" dxfId="1000" priority="892" stopIfTrue="1" operator="greaterThan">
      <formula>1.2</formula>
    </cfRule>
  </conditionalFormatting>
  <conditionalFormatting sqref="AH28">
    <cfRule type="cellIs" dxfId="999" priority="891" stopIfTrue="1" operator="between">
      <formula>0.8</formula>
      <formula>1.2</formula>
    </cfRule>
  </conditionalFormatting>
  <conditionalFormatting sqref="AH28">
    <cfRule type="cellIs" dxfId="998" priority="890" stopIfTrue="1" operator="lessThan">
      <formula>0.8</formula>
    </cfRule>
  </conditionalFormatting>
  <conditionalFormatting sqref="AH28">
    <cfRule type="cellIs" dxfId="997" priority="889" stopIfTrue="1" operator="greaterThan">
      <formula>1.2</formula>
    </cfRule>
  </conditionalFormatting>
  <conditionalFormatting sqref="AH29">
    <cfRule type="cellIs" dxfId="996" priority="888" stopIfTrue="1" operator="between">
      <formula>0.8</formula>
      <formula>1.2</formula>
    </cfRule>
  </conditionalFormatting>
  <conditionalFormatting sqref="AH29">
    <cfRule type="cellIs" dxfId="995" priority="887" stopIfTrue="1" operator="lessThan">
      <formula>0.8</formula>
    </cfRule>
  </conditionalFormatting>
  <conditionalFormatting sqref="AH29">
    <cfRule type="cellIs" dxfId="994" priority="886" stopIfTrue="1" operator="greaterThan">
      <formula>1.2</formula>
    </cfRule>
  </conditionalFormatting>
  <conditionalFormatting sqref="AH30">
    <cfRule type="cellIs" dxfId="993" priority="885" stopIfTrue="1" operator="between">
      <formula>0.8</formula>
      <formula>1.2</formula>
    </cfRule>
  </conditionalFormatting>
  <conditionalFormatting sqref="AH30">
    <cfRule type="cellIs" dxfId="992" priority="884" stopIfTrue="1" operator="lessThan">
      <formula>0.8</formula>
    </cfRule>
  </conditionalFormatting>
  <conditionalFormatting sqref="AH30">
    <cfRule type="cellIs" dxfId="991" priority="883" stopIfTrue="1" operator="greaterThan">
      <formula>1.2</formula>
    </cfRule>
  </conditionalFormatting>
  <conditionalFormatting sqref="AH31">
    <cfRule type="cellIs" dxfId="990" priority="882" stopIfTrue="1" operator="between">
      <formula>0.8</formula>
      <formula>1.2</formula>
    </cfRule>
  </conditionalFormatting>
  <conditionalFormatting sqref="AH31">
    <cfRule type="cellIs" dxfId="989" priority="881" stopIfTrue="1" operator="lessThan">
      <formula>0.8</formula>
    </cfRule>
  </conditionalFormatting>
  <conditionalFormatting sqref="AH31">
    <cfRule type="cellIs" dxfId="988" priority="880" stopIfTrue="1" operator="greaterThan">
      <formula>1.2</formula>
    </cfRule>
  </conditionalFormatting>
  <conditionalFormatting sqref="AH32">
    <cfRule type="cellIs" dxfId="987" priority="879" stopIfTrue="1" operator="between">
      <formula>0.8</formula>
      <formula>1.2</formula>
    </cfRule>
  </conditionalFormatting>
  <conditionalFormatting sqref="AH32">
    <cfRule type="cellIs" dxfId="986" priority="878" stopIfTrue="1" operator="lessThan">
      <formula>0.8</formula>
    </cfRule>
  </conditionalFormatting>
  <conditionalFormatting sqref="AH32">
    <cfRule type="cellIs" dxfId="985" priority="877" stopIfTrue="1" operator="greaterThan">
      <formula>1.2</formula>
    </cfRule>
  </conditionalFormatting>
  <conditionalFormatting sqref="AH33">
    <cfRule type="cellIs" dxfId="984" priority="876" stopIfTrue="1" operator="between">
      <formula>0.8</formula>
      <formula>1.2</formula>
    </cfRule>
  </conditionalFormatting>
  <conditionalFormatting sqref="AH33">
    <cfRule type="cellIs" dxfId="983" priority="875" stopIfTrue="1" operator="lessThan">
      <formula>0.8</formula>
    </cfRule>
  </conditionalFormatting>
  <conditionalFormatting sqref="AH33">
    <cfRule type="cellIs" dxfId="982" priority="874" stopIfTrue="1" operator="greaterThan">
      <formula>1.2</formula>
    </cfRule>
  </conditionalFormatting>
  <conditionalFormatting sqref="AH34">
    <cfRule type="cellIs" dxfId="981" priority="873" stopIfTrue="1" operator="between">
      <formula>0.8</formula>
      <formula>1.2</formula>
    </cfRule>
  </conditionalFormatting>
  <conditionalFormatting sqref="AH34">
    <cfRule type="cellIs" dxfId="980" priority="872" stopIfTrue="1" operator="lessThan">
      <formula>0.8</formula>
    </cfRule>
  </conditionalFormatting>
  <conditionalFormatting sqref="AH34">
    <cfRule type="cellIs" dxfId="979" priority="871" stopIfTrue="1" operator="greaterThan">
      <formula>1.2</formula>
    </cfRule>
  </conditionalFormatting>
  <conditionalFormatting sqref="AH35">
    <cfRule type="cellIs" dxfId="978" priority="870" stopIfTrue="1" operator="between">
      <formula>0.8</formula>
      <formula>1.2</formula>
    </cfRule>
  </conditionalFormatting>
  <conditionalFormatting sqref="AH35">
    <cfRule type="cellIs" dxfId="977" priority="869" stopIfTrue="1" operator="lessThan">
      <formula>0.8</formula>
    </cfRule>
  </conditionalFormatting>
  <conditionalFormatting sqref="AH35">
    <cfRule type="cellIs" dxfId="976" priority="868" stopIfTrue="1" operator="greaterThan">
      <formula>1.2</formula>
    </cfRule>
  </conditionalFormatting>
  <conditionalFormatting sqref="AH36">
    <cfRule type="cellIs" dxfId="975" priority="867" stopIfTrue="1" operator="between">
      <formula>0.8</formula>
      <formula>1.2</formula>
    </cfRule>
  </conditionalFormatting>
  <conditionalFormatting sqref="AH36">
    <cfRule type="cellIs" dxfId="974" priority="866" stopIfTrue="1" operator="lessThan">
      <formula>0.8</formula>
    </cfRule>
  </conditionalFormatting>
  <conditionalFormatting sqref="AH36">
    <cfRule type="cellIs" dxfId="973" priority="865" stopIfTrue="1" operator="greaterThan">
      <formula>1.2</formula>
    </cfRule>
  </conditionalFormatting>
  <conditionalFormatting sqref="AH37">
    <cfRule type="cellIs" dxfId="972" priority="864" stopIfTrue="1" operator="between">
      <formula>0.8</formula>
      <formula>1.2</formula>
    </cfRule>
  </conditionalFormatting>
  <conditionalFormatting sqref="AH37">
    <cfRule type="cellIs" dxfId="971" priority="863" stopIfTrue="1" operator="lessThan">
      <formula>0.8</formula>
    </cfRule>
  </conditionalFormatting>
  <conditionalFormatting sqref="AH37">
    <cfRule type="cellIs" dxfId="970" priority="862" stopIfTrue="1" operator="greaterThan">
      <formula>1.2</formula>
    </cfRule>
  </conditionalFormatting>
  <conditionalFormatting sqref="AH38">
    <cfRule type="cellIs" dxfId="969" priority="861" stopIfTrue="1" operator="between">
      <formula>0.8</formula>
      <formula>1.2</formula>
    </cfRule>
  </conditionalFormatting>
  <conditionalFormatting sqref="AH38">
    <cfRule type="cellIs" dxfId="968" priority="860" stopIfTrue="1" operator="lessThan">
      <formula>0.8</formula>
    </cfRule>
  </conditionalFormatting>
  <conditionalFormatting sqref="AH38">
    <cfRule type="cellIs" dxfId="967" priority="859" stopIfTrue="1" operator="greaterThan">
      <formula>1.2</formula>
    </cfRule>
  </conditionalFormatting>
  <conditionalFormatting sqref="AH39">
    <cfRule type="cellIs" dxfId="966" priority="858" stopIfTrue="1" operator="between">
      <formula>0.8</formula>
      <formula>1.2</formula>
    </cfRule>
  </conditionalFormatting>
  <conditionalFormatting sqref="AH39">
    <cfRule type="cellIs" dxfId="965" priority="857" stopIfTrue="1" operator="lessThan">
      <formula>0.8</formula>
    </cfRule>
  </conditionalFormatting>
  <conditionalFormatting sqref="AH39">
    <cfRule type="cellIs" dxfId="964" priority="856" stopIfTrue="1" operator="greaterThan">
      <formula>1.2</formula>
    </cfRule>
  </conditionalFormatting>
  <conditionalFormatting sqref="AH40">
    <cfRule type="cellIs" dxfId="963" priority="855" stopIfTrue="1" operator="between">
      <formula>0.8</formula>
      <formula>1.2</formula>
    </cfRule>
  </conditionalFormatting>
  <conditionalFormatting sqref="AH40">
    <cfRule type="cellIs" dxfId="962" priority="854" stopIfTrue="1" operator="lessThan">
      <formula>0.8</formula>
    </cfRule>
  </conditionalFormatting>
  <conditionalFormatting sqref="AH40">
    <cfRule type="cellIs" dxfId="961" priority="853" stopIfTrue="1" operator="greaterThan">
      <formula>1.2</formula>
    </cfRule>
  </conditionalFormatting>
  <conditionalFormatting sqref="AH41">
    <cfRule type="cellIs" dxfId="960" priority="852" stopIfTrue="1" operator="between">
      <formula>0.8</formula>
      <formula>1.2</formula>
    </cfRule>
  </conditionalFormatting>
  <conditionalFormatting sqref="AH41">
    <cfRule type="cellIs" dxfId="959" priority="851" stopIfTrue="1" operator="lessThan">
      <formula>0.8</formula>
    </cfRule>
  </conditionalFormatting>
  <conditionalFormatting sqref="AH41">
    <cfRule type="cellIs" dxfId="958" priority="850" stopIfTrue="1" operator="greaterThan">
      <formula>1.2</formula>
    </cfRule>
  </conditionalFormatting>
  <conditionalFormatting sqref="AH42">
    <cfRule type="cellIs" dxfId="957" priority="849" stopIfTrue="1" operator="between">
      <formula>0.8</formula>
      <formula>1.2</formula>
    </cfRule>
  </conditionalFormatting>
  <conditionalFormatting sqref="AH42">
    <cfRule type="cellIs" dxfId="956" priority="848" stopIfTrue="1" operator="lessThan">
      <formula>0.8</formula>
    </cfRule>
  </conditionalFormatting>
  <conditionalFormatting sqref="AH42">
    <cfRule type="cellIs" dxfId="955" priority="847" stopIfTrue="1" operator="greaterThan">
      <formula>1.2</formula>
    </cfRule>
  </conditionalFormatting>
  <conditionalFormatting sqref="AH43">
    <cfRule type="cellIs" dxfId="954" priority="846" stopIfTrue="1" operator="between">
      <formula>0.8</formula>
      <formula>1.2</formula>
    </cfRule>
  </conditionalFormatting>
  <conditionalFormatting sqref="AH43">
    <cfRule type="cellIs" dxfId="953" priority="845" stopIfTrue="1" operator="lessThan">
      <formula>0.8</formula>
    </cfRule>
  </conditionalFormatting>
  <conditionalFormatting sqref="AH43">
    <cfRule type="cellIs" dxfId="952" priority="844" stopIfTrue="1" operator="greaterThan">
      <formula>1.2</formula>
    </cfRule>
  </conditionalFormatting>
  <conditionalFormatting sqref="AH44">
    <cfRule type="cellIs" dxfId="951" priority="843" stopIfTrue="1" operator="between">
      <formula>0.8</formula>
      <formula>1.2</formula>
    </cfRule>
  </conditionalFormatting>
  <conditionalFormatting sqref="AH44">
    <cfRule type="cellIs" dxfId="950" priority="842" stopIfTrue="1" operator="lessThan">
      <formula>0.8</formula>
    </cfRule>
  </conditionalFormatting>
  <conditionalFormatting sqref="AH44">
    <cfRule type="cellIs" dxfId="949" priority="841" stopIfTrue="1" operator="greaterThan">
      <formula>1.2</formula>
    </cfRule>
  </conditionalFormatting>
  <conditionalFormatting sqref="AI25">
    <cfRule type="cellIs" dxfId="948" priority="840" stopIfTrue="1" operator="between">
      <formula>0.8</formula>
      <formula>1.2</formula>
    </cfRule>
  </conditionalFormatting>
  <conditionalFormatting sqref="AI25">
    <cfRule type="cellIs" dxfId="947" priority="839" stopIfTrue="1" operator="lessThan">
      <formula>0.8</formula>
    </cfRule>
  </conditionalFormatting>
  <conditionalFormatting sqref="AI25">
    <cfRule type="cellIs" dxfId="946" priority="838" stopIfTrue="1" operator="greaterThan">
      <formula>1.2</formula>
    </cfRule>
  </conditionalFormatting>
  <conditionalFormatting sqref="AI26">
    <cfRule type="cellIs" dxfId="945" priority="837" stopIfTrue="1" operator="between">
      <formula>0.8</formula>
      <formula>1.2</formula>
    </cfRule>
  </conditionalFormatting>
  <conditionalFormatting sqref="AI26">
    <cfRule type="cellIs" dxfId="944" priority="836" stopIfTrue="1" operator="lessThan">
      <formula>0.8</formula>
    </cfRule>
  </conditionalFormatting>
  <conditionalFormatting sqref="AI26">
    <cfRule type="cellIs" dxfId="943" priority="835" stopIfTrue="1" operator="greaterThan">
      <formula>1.2</formula>
    </cfRule>
  </conditionalFormatting>
  <conditionalFormatting sqref="AI27">
    <cfRule type="cellIs" dxfId="942" priority="834" stopIfTrue="1" operator="between">
      <formula>0.8</formula>
      <formula>1.2</formula>
    </cfRule>
  </conditionalFormatting>
  <conditionalFormatting sqref="AI27">
    <cfRule type="cellIs" dxfId="941" priority="833" stopIfTrue="1" operator="lessThan">
      <formula>0.8</formula>
    </cfRule>
  </conditionalFormatting>
  <conditionalFormatting sqref="AI27">
    <cfRule type="cellIs" dxfId="940" priority="832" stopIfTrue="1" operator="greaterThan">
      <formula>1.2</formula>
    </cfRule>
  </conditionalFormatting>
  <conditionalFormatting sqref="AI28">
    <cfRule type="cellIs" dxfId="939" priority="831" stopIfTrue="1" operator="between">
      <formula>0.8</formula>
      <formula>1.2</formula>
    </cfRule>
  </conditionalFormatting>
  <conditionalFormatting sqref="AI28">
    <cfRule type="cellIs" dxfId="938" priority="830" stopIfTrue="1" operator="lessThan">
      <formula>0.8</formula>
    </cfRule>
  </conditionalFormatting>
  <conditionalFormatting sqref="AI28">
    <cfRule type="cellIs" dxfId="937" priority="829" stopIfTrue="1" operator="greaterThan">
      <formula>1.2</formula>
    </cfRule>
  </conditionalFormatting>
  <conditionalFormatting sqref="AI29">
    <cfRule type="cellIs" dxfId="936" priority="828" stopIfTrue="1" operator="between">
      <formula>0.8</formula>
      <formula>1.2</formula>
    </cfRule>
  </conditionalFormatting>
  <conditionalFormatting sqref="AI29">
    <cfRule type="cellIs" dxfId="935" priority="827" stopIfTrue="1" operator="lessThan">
      <formula>0.8</formula>
    </cfRule>
  </conditionalFormatting>
  <conditionalFormatting sqref="AI29">
    <cfRule type="cellIs" dxfId="934" priority="826" stopIfTrue="1" operator="greaterThan">
      <formula>1.2</formula>
    </cfRule>
  </conditionalFormatting>
  <conditionalFormatting sqref="AI30">
    <cfRule type="cellIs" dxfId="933" priority="825" stopIfTrue="1" operator="between">
      <formula>0.8</formula>
      <formula>1.2</formula>
    </cfRule>
  </conditionalFormatting>
  <conditionalFormatting sqref="AI30">
    <cfRule type="cellIs" dxfId="932" priority="824" stopIfTrue="1" operator="lessThan">
      <formula>0.8</formula>
    </cfRule>
  </conditionalFormatting>
  <conditionalFormatting sqref="AI30">
    <cfRule type="cellIs" dxfId="931" priority="823" stopIfTrue="1" operator="greaterThan">
      <formula>1.2</formula>
    </cfRule>
  </conditionalFormatting>
  <conditionalFormatting sqref="AI31">
    <cfRule type="cellIs" dxfId="930" priority="822" stopIfTrue="1" operator="between">
      <formula>0.8</formula>
      <formula>1.2</formula>
    </cfRule>
  </conditionalFormatting>
  <conditionalFormatting sqref="AI31">
    <cfRule type="cellIs" dxfId="929" priority="821" stopIfTrue="1" operator="lessThan">
      <formula>0.8</formula>
    </cfRule>
  </conditionalFormatting>
  <conditionalFormatting sqref="AI31">
    <cfRule type="cellIs" dxfId="928" priority="820" stopIfTrue="1" operator="greaterThan">
      <formula>1.2</formula>
    </cfRule>
  </conditionalFormatting>
  <conditionalFormatting sqref="AI32">
    <cfRule type="cellIs" dxfId="927" priority="819" stopIfTrue="1" operator="between">
      <formula>0.8</formula>
      <formula>1.2</formula>
    </cfRule>
  </conditionalFormatting>
  <conditionalFormatting sqref="AI32">
    <cfRule type="cellIs" dxfId="926" priority="818" stopIfTrue="1" operator="lessThan">
      <formula>0.8</formula>
    </cfRule>
  </conditionalFormatting>
  <conditionalFormatting sqref="AI32">
    <cfRule type="cellIs" dxfId="925" priority="817" stopIfTrue="1" operator="greaterThan">
      <formula>1.2</formula>
    </cfRule>
  </conditionalFormatting>
  <conditionalFormatting sqref="AI33">
    <cfRule type="cellIs" dxfId="924" priority="816" stopIfTrue="1" operator="between">
      <formula>0.8</formula>
      <formula>1.2</formula>
    </cfRule>
  </conditionalFormatting>
  <conditionalFormatting sqref="AI33">
    <cfRule type="cellIs" dxfId="923" priority="815" stopIfTrue="1" operator="lessThan">
      <formula>0.8</formula>
    </cfRule>
  </conditionalFormatting>
  <conditionalFormatting sqref="AI33">
    <cfRule type="cellIs" dxfId="922" priority="814" stopIfTrue="1" operator="greaterThan">
      <formula>1.2</formula>
    </cfRule>
  </conditionalFormatting>
  <conditionalFormatting sqref="AI34">
    <cfRule type="cellIs" dxfId="921" priority="813" stopIfTrue="1" operator="between">
      <formula>0.8</formula>
      <formula>1.2</formula>
    </cfRule>
  </conditionalFormatting>
  <conditionalFormatting sqref="AI34">
    <cfRule type="cellIs" dxfId="920" priority="812" stopIfTrue="1" operator="lessThan">
      <formula>0.8</formula>
    </cfRule>
  </conditionalFormatting>
  <conditionalFormatting sqref="AI34">
    <cfRule type="cellIs" dxfId="919" priority="811" stopIfTrue="1" operator="greaterThan">
      <formula>1.2</formula>
    </cfRule>
  </conditionalFormatting>
  <conditionalFormatting sqref="AI35">
    <cfRule type="cellIs" dxfId="918" priority="810" stopIfTrue="1" operator="between">
      <formula>0.8</formula>
      <formula>1.2</formula>
    </cfRule>
  </conditionalFormatting>
  <conditionalFormatting sqref="AI35">
    <cfRule type="cellIs" dxfId="917" priority="809" stopIfTrue="1" operator="lessThan">
      <formula>0.8</formula>
    </cfRule>
  </conditionalFormatting>
  <conditionalFormatting sqref="AI35">
    <cfRule type="cellIs" dxfId="916" priority="808" stopIfTrue="1" operator="greaterThan">
      <formula>1.2</formula>
    </cfRule>
  </conditionalFormatting>
  <conditionalFormatting sqref="AI36">
    <cfRule type="cellIs" dxfId="915" priority="807" stopIfTrue="1" operator="between">
      <formula>0.8</formula>
      <formula>1.2</formula>
    </cfRule>
  </conditionalFormatting>
  <conditionalFormatting sqref="AI36">
    <cfRule type="cellIs" dxfId="914" priority="806" stopIfTrue="1" operator="lessThan">
      <formula>0.8</formula>
    </cfRule>
  </conditionalFormatting>
  <conditionalFormatting sqref="AI36">
    <cfRule type="cellIs" dxfId="913" priority="805" stopIfTrue="1" operator="greaterThan">
      <formula>1.2</formula>
    </cfRule>
  </conditionalFormatting>
  <conditionalFormatting sqref="AI37">
    <cfRule type="cellIs" dxfId="912" priority="804" stopIfTrue="1" operator="between">
      <formula>0.8</formula>
      <formula>1.2</formula>
    </cfRule>
  </conditionalFormatting>
  <conditionalFormatting sqref="AI37">
    <cfRule type="cellIs" dxfId="911" priority="803" stopIfTrue="1" operator="lessThan">
      <formula>0.8</formula>
    </cfRule>
  </conditionalFormatting>
  <conditionalFormatting sqref="AI37">
    <cfRule type="cellIs" dxfId="910" priority="802" stopIfTrue="1" operator="greaterThan">
      <formula>1.2</formula>
    </cfRule>
  </conditionalFormatting>
  <conditionalFormatting sqref="AI38">
    <cfRule type="cellIs" dxfId="909" priority="801" stopIfTrue="1" operator="between">
      <formula>0.8</formula>
      <formula>1.2</formula>
    </cfRule>
  </conditionalFormatting>
  <conditionalFormatting sqref="AI38">
    <cfRule type="cellIs" dxfId="908" priority="800" stopIfTrue="1" operator="lessThan">
      <formula>0.8</formula>
    </cfRule>
  </conditionalFormatting>
  <conditionalFormatting sqref="AI38">
    <cfRule type="cellIs" dxfId="907" priority="799" stopIfTrue="1" operator="greaterThan">
      <formula>1.2</formula>
    </cfRule>
  </conditionalFormatting>
  <conditionalFormatting sqref="AI39">
    <cfRule type="cellIs" dxfId="906" priority="798" stopIfTrue="1" operator="between">
      <formula>0.8</formula>
      <formula>1.2</formula>
    </cfRule>
  </conditionalFormatting>
  <conditionalFormatting sqref="AI39">
    <cfRule type="cellIs" dxfId="905" priority="797" stopIfTrue="1" operator="lessThan">
      <formula>0.8</formula>
    </cfRule>
  </conditionalFormatting>
  <conditionalFormatting sqref="AI39">
    <cfRule type="cellIs" dxfId="904" priority="796" stopIfTrue="1" operator="greaterThan">
      <formula>1.2</formula>
    </cfRule>
  </conditionalFormatting>
  <conditionalFormatting sqref="AI40">
    <cfRule type="cellIs" dxfId="903" priority="795" stopIfTrue="1" operator="between">
      <formula>0.8</formula>
      <formula>1.2</formula>
    </cfRule>
  </conditionalFormatting>
  <conditionalFormatting sqref="AI40">
    <cfRule type="cellIs" dxfId="902" priority="794" stopIfTrue="1" operator="lessThan">
      <formula>0.8</formula>
    </cfRule>
  </conditionalFormatting>
  <conditionalFormatting sqref="AI40">
    <cfRule type="cellIs" dxfId="901" priority="793" stopIfTrue="1" operator="greaterThan">
      <formula>1.2</formula>
    </cfRule>
  </conditionalFormatting>
  <conditionalFormatting sqref="AI41">
    <cfRule type="cellIs" dxfId="900" priority="792" stopIfTrue="1" operator="between">
      <formula>0.8</formula>
      <formula>1.2</formula>
    </cfRule>
  </conditionalFormatting>
  <conditionalFormatting sqref="AI41">
    <cfRule type="cellIs" dxfId="899" priority="791" stopIfTrue="1" operator="lessThan">
      <formula>0.8</formula>
    </cfRule>
  </conditionalFormatting>
  <conditionalFormatting sqref="AI41">
    <cfRule type="cellIs" dxfId="898" priority="790" stopIfTrue="1" operator="greaterThan">
      <formula>1.2</formula>
    </cfRule>
  </conditionalFormatting>
  <conditionalFormatting sqref="AI42">
    <cfRule type="cellIs" dxfId="897" priority="789" stopIfTrue="1" operator="between">
      <formula>0.8</formula>
      <formula>1.2</formula>
    </cfRule>
  </conditionalFormatting>
  <conditionalFormatting sqref="AI42">
    <cfRule type="cellIs" dxfId="896" priority="788" stopIfTrue="1" operator="lessThan">
      <formula>0.8</formula>
    </cfRule>
  </conditionalFormatting>
  <conditionalFormatting sqref="AI42">
    <cfRule type="cellIs" dxfId="895" priority="787" stopIfTrue="1" operator="greaterThan">
      <formula>1.2</formula>
    </cfRule>
  </conditionalFormatting>
  <conditionalFormatting sqref="AI43">
    <cfRule type="cellIs" dxfId="894" priority="786" stopIfTrue="1" operator="between">
      <formula>0.8</formula>
      <formula>1.2</formula>
    </cfRule>
  </conditionalFormatting>
  <conditionalFormatting sqref="AI43">
    <cfRule type="cellIs" dxfId="893" priority="785" stopIfTrue="1" operator="lessThan">
      <formula>0.8</formula>
    </cfRule>
  </conditionalFormatting>
  <conditionalFormatting sqref="AI43">
    <cfRule type="cellIs" dxfId="892" priority="784" stopIfTrue="1" operator="greaterThan">
      <formula>1.2</formula>
    </cfRule>
  </conditionalFormatting>
  <conditionalFormatting sqref="AI44">
    <cfRule type="cellIs" dxfId="891" priority="783" stopIfTrue="1" operator="between">
      <formula>0.8</formula>
      <formula>1.2</formula>
    </cfRule>
  </conditionalFormatting>
  <conditionalFormatting sqref="AI44">
    <cfRule type="cellIs" dxfId="890" priority="782" stopIfTrue="1" operator="lessThan">
      <formula>0.8</formula>
    </cfRule>
  </conditionalFormatting>
  <conditionalFormatting sqref="AI44">
    <cfRule type="cellIs" dxfId="889" priority="781" stopIfTrue="1" operator="greaterThan">
      <formula>1.2</formula>
    </cfRule>
  </conditionalFormatting>
  <conditionalFormatting sqref="AJ25">
    <cfRule type="cellIs" dxfId="888" priority="780" stopIfTrue="1" operator="between">
      <formula>0.8</formula>
      <formula>1.2</formula>
    </cfRule>
  </conditionalFormatting>
  <conditionalFormatting sqref="AJ25">
    <cfRule type="cellIs" dxfId="887" priority="779" stopIfTrue="1" operator="lessThan">
      <formula>0.8</formula>
    </cfRule>
  </conditionalFormatting>
  <conditionalFormatting sqref="AJ25">
    <cfRule type="cellIs" dxfId="886" priority="778" stopIfTrue="1" operator="greaterThan">
      <formula>1.2</formula>
    </cfRule>
  </conditionalFormatting>
  <conditionalFormatting sqref="AJ26">
    <cfRule type="cellIs" dxfId="885" priority="777" stopIfTrue="1" operator="between">
      <formula>0.8</formula>
      <formula>1.2</formula>
    </cfRule>
  </conditionalFormatting>
  <conditionalFormatting sqref="AJ26">
    <cfRule type="cellIs" dxfId="884" priority="776" stopIfTrue="1" operator="lessThan">
      <formula>0.8</formula>
    </cfRule>
  </conditionalFormatting>
  <conditionalFormatting sqref="AJ26">
    <cfRule type="cellIs" dxfId="883" priority="775" stopIfTrue="1" operator="greaterThan">
      <formula>1.2</formula>
    </cfRule>
  </conditionalFormatting>
  <conditionalFormatting sqref="AJ27">
    <cfRule type="cellIs" dxfId="882" priority="774" stopIfTrue="1" operator="between">
      <formula>0.8</formula>
      <formula>1.2</formula>
    </cfRule>
  </conditionalFormatting>
  <conditionalFormatting sqref="AJ27">
    <cfRule type="cellIs" dxfId="881" priority="773" stopIfTrue="1" operator="lessThan">
      <formula>0.8</formula>
    </cfRule>
  </conditionalFormatting>
  <conditionalFormatting sqref="AJ27">
    <cfRule type="cellIs" dxfId="880" priority="772" stopIfTrue="1" operator="greaterThan">
      <formula>1.2</formula>
    </cfRule>
  </conditionalFormatting>
  <conditionalFormatting sqref="AJ28">
    <cfRule type="cellIs" dxfId="879" priority="771" stopIfTrue="1" operator="between">
      <formula>0.8</formula>
      <formula>1.2</formula>
    </cfRule>
  </conditionalFormatting>
  <conditionalFormatting sqref="AJ28">
    <cfRule type="cellIs" dxfId="878" priority="770" stopIfTrue="1" operator="lessThan">
      <formula>0.8</formula>
    </cfRule>
  </conditionalFormatting>
  <conditionalFormatting sqref="AJ28">
    <cfRule type="cellIs" dxfId="877" priority="769" stopIfTrue="1" operator="greaterThan">
      <formula>1.2</formula>
    </cfRule>
  </conditionalFormatting>
  <conditionalFormatting sqref="AJ29">
    <cfRule type="cellIs" dxfId="876" priority="768" stopIfTrue="1" operator="between">
      <formula>0.8</formula>
      <formula>1.2</formula>
    </cfRule>
  </conditionalFormatting>
  <conditionalFormatting sqref="AJ29">
    <cfRule type="cellIs" dxfId="875" priority="767" stopIfTrue="1" operator="lessThan">
      <formula>0.8</formula>
    </cfRule>
  </conditionalFormatting>
  <conditionalFormatting sqref="AJ29">
    <cfRule type="cellIs" dxfId="874" priority="766" stopIfTrue="1" operator="greaterThan">
      <formula>1.2</formula>
    </cfRule>
  </conditionalFormatting>
  <conditionalFormatting sqref="AJ30">
    <cfRule type="cellIs" dxfId="873" priority="765" stopIfTrue="1" operator="between">
      <formula>0.8</formula>
      <formula>1.2</formula>
    </cfRule>
  </conditionalFormatting>
  <conditionalFormatting sqref="AJ30">
    <cfRule type="cellIs" dxfId="872" priority="764" stopIfTrue="1" operator="lessThan">
      <formula>0.8</formula>
    </cfRule>
  </conditionalFormatting>
  <conditionalFormatting sqref="AJ30">
    <cfRule type="cellIs" dxfId="871" priority="763" stopIfTrue="1" operator="greaterThan">
      <formula>1.2</formula>
    </cfRule>
  </conditionalFormatting>
  <conditionalFormatting sqref="AJ31">
    <cfRule type="cellIs" dxfId="870" priority="762" stopIfTrue="1" operator="between">
      <formula>0.8</formula>
      <formula>1.2</formula>
    </cfRule>
  </conditionalFormatting>
  <conditionalFormatting sqref="AJ31">
    <cfRule type="cellIs" dxfId="869" priority="761" stopIfTrue="1" operator="lessThan">
      <formula>0.8</formula>
    </cfRule>
  </conditionalFormatting>
  <conditionalFormatting sqref="AJ31">
    <cfRule type="cellIs" dxfId="868" priority="760" stopIfTrue="1" operator="greaterThan">
      <formula>1.2</formula>
    </cfRule>
  </conditionalFormatting>
  <conditionalFormatting sqref="AJ32">
    <cfRule type="cellIs" dxfId="867" priority="759" stopIfTrue="1" operator="between">
      <formula>0.8</formula>
      <formula>1.2</formula>
    </cfRule>
  </conditionalFormatting>
  <conditionalFormatting sqref="AJ32">
    <cfRule type="cellIs" dxfId="866" priority="758" stopIfTrue="1" operator="lessThan">
      <formula>0.8</formula>
    </cfRule>
  </conditionalFormatting>
  <conditionalFormatting sqref="AJ32">
    <cfRule type="cellIs" dxfId="865" priority="757" stopIfTrue="1" operator="greaterThan">
      <formula>1.2</formula>
    </cfRule>
  </conditionalFormatting>
  <conditionalFormatting sqref="AJ33">
    <cfRule type="cellIs" dxfId="864" priority="756" stopIfTrue="1" operator="between">
      <formula>0.8</formula>
      <formula>1.2</formula>
    </cfRule>
  </conditionalFormatting>
  <conditionalFormatting sqref="AJ33">
    <cfRule type="cellIs" dxfId="863" priority="755" stopIfTrue="1" operator="lessThan">
      <formula>0.8</formula>
    </cfRule>
  </conditionalFormatting>
  <conditionalFormatting sqref="AJ33">
    <cfRule type="cellIs" dxfId="862" priority="754" stopIfTrue="1" operator="greaterThan">
      <formula>1.2</formula>
    </cfRule>
  </conditionalFormatting>
  <conditionalFormatting sqref="AJ34">
    <cfRule type="cellIs" dxfId="861" priority="753" stopIfTrue="1" operator="between">
      <formula>0.8</formula>
      <formula>1.2</formula>
    </cfRule>
  </conditionalFormatting>
  <conditionalFormatting sqref="AJ34">
    <cfRule type="cellIs" dxfId="860" priority="752" stopIfTrue="1" operator="lessThan">
      <formula>0.8</formula>
    </cfRule>
  </conditionalFormatting>
  <conditionalFormatting sqref="AJ34">
    <cfRule type="cellIs" dxfId="859" priority="751" stopIfTrue="1" operator="greaterThan">
      <formula>1.2</formula>
    </cfRule>
  </conditionalFormatting>
  <conditionalFormatting sqref="AJ35">
    <cfRule type="cellIs" dxfId="858" priority="750" stopIfTrue="1" operator="between">
      <formula>0.8</formula>
      <formula>1.2</formula>
    </cfRule>
  </conditionalFormatting>
  <conditionalFormatting sqref="AJ35">
    <cfRule type="cellIs" dxfId="857" priority="749" stopIfTrue="1" operator="lessThan">
      <formula>0.8</formula>
    </cfRule>
  </conditionalFormatting>
  <conditionalFormatting sqref="AJ35">
    <cfRule type="cellIs" dxfId="856" priority="748" stopIfTrue="1" operator="greaterThan">
      <formula>1.2</formula>
    </cfRule>
  </conditionalFormatting>
  <conditionalFormatting sqref="AJ36">
    <cfRule type="cellIs" dxfId="855" priority="747" stopIfTrue="1" operator="between">
      <formula>0.8</formula>
      <formula>1.2</formula>
    </cfRule>
  </conditionalFormatting>
  <conditionalFormatting sqref="AJ36">
    <cfRule type="cellIs" dxfId="854" priority="746" stopIfTrue="1" operator="lessThan">
      <formula>0.8</formula>
    </cfRule>
  </conditionalFormatting>
  <conditionalFormatting sqref="AJ36">
    <cfRule type="cellIs" dxfId="853" priority="745" stopIfTrue="1" operator="greaterThan">
      <formula>1.2</formula>
    </cfRule>
  </conditionalFormatting>
  <conditionalFormatting sqref="AJ37">
    <cfRule type="cellIs" dxfId="852" priority="744" stopIfTrue="1" operator="between">
      <formula>0.8</formula>
      <formula>1.2</formula>
    </cfRule>
  </conditionalFormatting>
  <conditionalFormatting sqref="AJ37">
    <cfRule type="cellIs" dxfId="851" priority="743" stopIfTrue="1" operator="lessThan">
      <formula>0.8</formula>
    </cfRule>
  </conditionalFormatting>
  <conditionalFormatting sqref="AJ37">
    <cfRule type="cellIs" dxfId="850" priority="742" stopIfTrue="1" operator="greaterThan">
      <formula>1.2</formula>
    </cfRule>
  </conditionalFormatting>
  <conditionalFormatting sqref="AJ38">
    <cfRule type="cellIs" dxfId="849" priority="741" stopIfTrue="1" operator="between">
      <formula>0.8</formula>
      <formula>1.2</formula>
    </cfRule>
  </conditionalFormatting>
  <conditionalFormatting sqref="AJ38">
    <cfRule type="cellIs" dxfId="848" priority="740" stopIfTrue="1" operator="lessThan">
      <formula>0.8</formula>
    </cfRule>
  </conditionalFormatting>
  <conditionalFormatting sqref="AJ38">
    <cfRule type="cellIs" dxfId="847" priority="739" stopIfTrue="1" operator="greaterThan">
      <formula>1.2</formula>
    </cfRule>
  </conditionalFormatting>
  <conditionalFormatting sqref="AJ39">
    <cfRule type="cellIs" dxfId="846" priority="738" stopIfTrue="1" operator="between">
      <formula>0.8</formula>
      <formula>1.2</formula>
    </cfRule>
  </conditionalFormatting>
  <conditionalFormatting sqref="AJ39">
    <cfRule type="cellIs" dxfId="845" priority="737" stopIfTrue="1" operator="lessThan">
      <formula>0.8</formula>
    </cfRule>
  </conditionalFormatting>
  <conditionalFormatting sqref="AJ39">
    <cfRule type="cellIs" dxfId="844" priority="736" stopIfTrue="1" operator="greaterThan">
      <formula>1.2</formula>
    </cfRule>
  </conditionalFormatting>
  <conditionalFormatting sqref="AJ40">
    <cfRule type="cellIs" dxfId="843" priority="735" stopIfTrue="1" operator="between">
      <formula>0.8</formula>
      <formula>1.2</formula>
    </cfRule>
  </conditionalFormatting>
  <conditionalFormatting sqref="AJ40">
    <cfRule type="cellIs" dxfId="842" priority="734" stopIfTrue="1" operator="lessThan">
      <formula>0.8</formula>
    </cfRule>
  </conditionalFormatting>
  <conditionalFormatting sqref="AJ40">
    <cfRule type="cellIs" dxfId="841" priority="733" stopIfTrue="1" operator="greaterThan">
      <formula>1.2</formula>
    </cfRule>
  </conditionalFormatting>
  <conditionalFormatting sqref="AJ41">
    <cfRule type="cellIs" dxfId="840" priority="732" stopIfTrue="1" operator="between">
      <formula>0.8</formula>
      <formula>1.2</formula>
    </cfRule>
  </conditionalFormatting>
  <conditionalFormatting sqref="AJ41">
    <cfRule type="cellIs" dxfId="839" priority="731" stopIfTrue="1" operator="lessThan">
      <formula>0.8</formula>
    </cfRule>
  </conditionalFormatting>
  <conditionalFormatting sqref="AJ41">
    <cfRule type="cellIs" dxfId="838" priority="730" stopIfTrue="1" operator="greaterThan">
      <formula>1.2</formula>
    </cfRule>
  </conditionalFormatting>
  <conditionalFormatting sqref="AJ42">
    <cfRule type="cellIs" dxfId="837" priority="729" stopIfTrue="1" operator="between">
      <formula>0.8</formula>
      <formula>1.2</formula>
    </cfRule>
  </conditionalFormatting>
  <conditionalFormatting sqref="AJ42">
    <cfRule type="cellIs" dxfId="836" priority="728" stopIfTrue="1" operator="lessThan">
      <formula>0.8</formula>
    </cfRule>
  </conditionalFormatting>
  <conditionalFormatting sqref="AJ42">
    <cfRule type="cellIs" dxfId="835" priority="727" stopIfTrue="1" operator="greaterThan">
      <formula>1.2</formula>
    </cfRule>
  </conditionalFormatting>
  <conditionalFormatting sqref="AJ43">
    <cfRule type="cellIs" dxfId="834" priority="726" stopIfTrue="1" operator="between">
      <formula>0.8</formula>
      <formula>1.2</formula>
    </cfRule>
  </conditionalFormatting>
  <conditionalFormatting sqref="AJ43">
    <cfRule type="cellIs" dxfId="833" priority="725" stopIfTrue="1" operator="lessThan">
      <formula>0.8</formula>
    </cfRule>
  </conditionalFormatting>
  <conditionalFormatting sqref="AJ43">
    <cfRule type="cellIs" dxfId="832" priority="724" stopIfTrue="1" operator="greaterThan">
      <formula>1.2</formula>
    </cfRule>
  </conditionalFormatting>
  <conditionalFormatting sqref="AJ44">
    <cfRule type="cellIs" dxfId="831" priority="723" stopIfTrue="1" operator="between">
      <formula>0.8</formula>
      <formula>1.2</formula>
    </cfRule>
  </conditionalFormatting>
  <conditionalFormatting sqref="AJ44">
    <cfRule type="cellIs" dxfId="830" priority="722" stopIfTrue="1" operator="lessThan">
      <formula>0.8</formula>
    </cfRule>
  </conditionalFormatting>
  <conditionalFormatting sqref="AJ44">
    <cfRule type="cellIs" dxfId="829" priority="721" stopIfTrue="1" operator="greaterThan">
      <formula>1.2</formula>
    </cfRule>
  </conditionalFormatting>
  <conditionalFormatting sqref="AK25">
    <cfRule type="cellIs" dxfId="828" priority="720" stopIfTrue="1" operator="between">
      <formula>0.8</formula>
      <formula>1.2</formula>
    </cfRule>
  </conditionalFormatting>
  <conditionalFormatting sqref="AK25">
    <cfRule type="cellIs" dxfId="827" priority="719" stopIfTrue="1" operator="lessThan">
      <formula>0.8</formula>
    </cfRule>
  </conditionalFormatting>
  <conditionalFormatting sqref="AK25">
    <cfRule type="cellIs" dxfId="826" priority="718" stopIfTrue="1" operator="greaterThan">
      <formula>1.2</formula>
    </cfRule>
  </conditionalFormatting>
  <conditionalFormatting sqref="AK26">
    <cfRule type="cellIs" dxfId="825" priority="717" stopIfTrue="1" operator="between">
      <formula>0.8</formula>
      <formula>1.2</formula>
    </cfRule>
  </conditionalFormatting>
  <conditionalFormatting sqref="AK26">
    <cfRule type="cellIs" dxfId="824" priority="716" stopIfTrue="1" operator="lessThan">
      <formula>0.8</formula>
    </cfRule>
  </conditionalFormatting>
  <conditionalFormatting sqref="AK26">
    <cfRule type="cellIs" dxfId="823" priority="715" stopIfTrue="1" operator="greaterThan">
      <formula>1.2</formula>
    </cfRule>
  </conditionalFormatting>
  <conditionalFormatting sqref="AK27">
    <cfRule type="cellIs" dxfId="822" priority="714" stopIfTrue="1" operator="between">
      <formula>0.8</formula>
      <formula>1.2</formula>
    </cfRule>
  </conditionalFormatting>
  <conditionalFormatting sqref="AK27">
    <cfRule type="cellIs" dxfId="821" priority="713" stopIfTrue="1" operator="lessThan">
      <formula>0.8</formula>
    </cfRule>
  </conditionalFormatting>
  <conditionalFormatting sqref="AK27">
    <cfRule type="cellIs" dxfId="820" priority="712" stopIfTrue="1" operator="greaterThan">
      <formula>1.2</formula>
    </cfRule>
  </conditionalFormatting>
  <conditionalFormatting sqref="AK28">
    <cfRule type="cellIs" dxfId="819" priority="711" stopIfTrue="1" operator="between">
      <formula>0.8</formula>
      <formula>1.2</formula>
    </cfRule>
  </conditionalFormatting>
  <conditionalFormatting sqref="AK28">
    <cfRule type="cellIs" dxfId="818" priority="710" stopIfTrue="1" operator="lessThan">
      <formula>0.8</formula>
    </cfRule>
  </conditionalFormatting>
  <conditionalFormatting sqref="AK28">
    <cfRule type="cellIs" dxfId="817" priority="709" stopIfTrue="1" operator="greaterThan">
      <formula>1.2</formula>
    </cfRule>
  </conditionalFormatting>
  <conditionalFormatting sqref="AK29">
    <cfRule type="cellIs" dxfId="816" priority="708" stopIfTrue="1" operator="between">
      <formula>0.8</formula>
      <formula>1.2</formula>
    </cfRule>
  </conditionalFormatting>
  <conditionalFormatting sqref="AK29">
    <cfRule type="cellIs" dxfId="815" priority="707" stopIfTrue="1" operator="lessThan">
      <formula>0.8</formula>
    </cfRule>
  </conditionalFormatting>
  <conditionalFormatting sqref="AK29">
    <cfRule type="cellIs" dxfId="814" priority="706" stopIfTrue="1" operator="greaterThan">
      <formula>1.2</formula>
    </cfRule>
  </conditionalFormatting>
  <conditionalFormatting sqref="AK30">
    <cfRule type="cellIs" dxfId="813" priority="705" stopIfTrue="1" operator="between">
      <formula>0.8</formula>
      <formula>1.2</formula>
    </cfRule>
  </conditionalFormatting>
  <conditionalFormatting sqref="AK30">
    <cfRule type="cellIs" dxfId="812" priority="704" stopIfTrue="1" operator="lessThan">
      <formula>0.8</formula>
    </cfRule>
  </conditionalFormatting>
  <conditionalFormatting sqref="AK30">
    <cfRule type="cellIs" dxfId="811" priority="703" stopIfTrue="1" operator="greaterThan">
      <formula>1.2</formula>
    </cfRule>
  </conditionalFormatting>
  <conditionalFormatting sqref="AK31">
    <cfRule type="cellIs" dxfId="810" priority="702" stopIfTrue="1" operator="between">
      <formula>0.8</formula>
      <formula>1.2</formula>
    </cfRule>
  </conditionalFormatting>
  <conditionalFormatting sqref="AK31">
    <cfRule type="cellIs" dxfId="809" priority="701" stopIfTrue="1" operator="lessThan">
      <formula>0.8</formula>
    </cfRule>
  </conditionalFormatting>
  <conditionalFormatting sqref="AK31">
    <cfRule type="cellIs" dxfId="808" priority="700" stopIfTrue="1" operator="greaterThan">
      <formula>1.2</formula>
    </cfRule>
  </conditionalFormatting>
  <conditionalFormatting sqref="AK32">
    <cfRule type="cellIs" dxfId="807" priority="699" stopIfTrue="1" operator="between">
      <formula>0.8</formula>
      <formula>1.2</formula>
    </cfRule>
  </conditionalFormatting>
  <conditionalFormatting sqref="AK32">
    <cfRule type="cellIs" dxfId="806" priority="698" stopIfTrue="1" operator="lessThan">
      <formula>0.8</formula>
    </cfRule>
  </conditionalFormatting>
  <conditionalFormatting sqref="AK32">
    <cfRule type="cellIs" dxfId="805" priority="697" stopIfTrue="1" operator="greaterThan">
      <formula>1.2</formula>
    </cfRule>
  </conditionalFormatting>
  <conditionalFormatting sqref="AK33">
    <cfRule type="cellIs" dxfId="804" priority="696" stopIfTrue="1" operator="between">
      <formula>0.8</formula>
      <formula>1.2</formula>
    </cfRule>
  </conditionalFormatting>
  <conditionalFormatting sqref="AK33">
    <cfRule type="cellIs" dxfId="803" priority="695" stopIfTrue="1" operator="lessThan">
      <formula>0.8</formula>
    </cfRule>
  </conditionalFormatting>
  <conditionalFormatting sqref="AK33">
    <cfRule type="cellIs" dxfId="802" priority="694" stopIfTrue="1" operator="greaterThan">
      <formula>1.2</formula>
    </cfRule>
  </conditionalFormatting>
  <conditionalFormatting sqref="AK34">
    <cfRule type="cellIs" dxfId="801" priority="693" stopIfTrue="1" operator="between">
      <formula>0.8</formula>
      <formula>1.2</formula>
    </cfRule>
  </conditionalFormatting>
  <conditionalFormatting sqref="AK34">
    <cfRule type="cellIs" dxfId="800" priority="692" stopIfTrue="1" operator="lessThan">
      <formula>0.8</formula>
    </cfRule>
  </conditionalFormatting>
  <conditionalFormatting sqref="AK34">
    <cfRule type="cellIs" dxfId="799" priority="691" stopIfTrue="1" operator="greaterThan">
      <formula>1.2</formula>
    </cfRule>
  </conditionalFormatting>
  <conditionalFormatting sqref="AK35">
    <cfRule type="cellIs" dxfId="798" priority="690" stopIfTrue="1" operator="between">
      <formula>0.8</formula>
      <formula>1.2</formula>
    </cfRule>
  </conditionalFormatting>
  <conditionalFormatting sqref="AK35">
    <cfRule type="cellIs" dxfId="797" priority="689" stopIfTrue="1" operator="lessThan">
      <formula>0.8</formula>
    </cfRule>
  </conditionalFormatting>
  <conditionalFormatting sqref="AK35">
    <cfRule type="cellIs" dxfId="796" priority="688" stopIfTrue="1" operator="greaterThan">
      <formula>1.2</formula>
    </cfRule>
  </conditionalFormatting>
  <conditionalFormatting sqref="AK36">
    <cfRule type="cellIs" dxfId="795" priority="687" stopIfTrue="1" operator="between">
      <formula>0.8</formula>
      <formula>1.2</formula>
    </cfRule>
  </conditionalFormatting>
  <conditionalFormatting sqref="AK36">
    <cfRule type="cellIs" dxfId="794" priority="686" stopIfTrue="1" operator="lessThan">
      <formula>0.8</formula>
    </cfRule>
  </conditionalFormatting>
  <conditionalFormatting sqref="AK36">
    <cfRule type="cellIs" dxfId="793" priority="685" stopIfTrue="1" operator="greaterThan">
      <formula>1.2</formula>
    </cfRule>
  </conditionalFormatting>
  <conditionalFormatting sqref="AK37">
    <cfRule type="cellIs" dxfId="792" priority="684" stopIfTrue="1" operator="between">
      <formula>0.8</formula>
      <formula>1.2</formula>
    </cfRule>
  </conditionalFormatting>
  <conditionalFormatting sqref="AK37">
    <cfRule type="cellIs" dxfId="791" priority="683" stopIfTrue="1" operator="lessThan">
      <formula>0.8</formula>
    </cfRule>
  </conditionalFormatting>
  <conditionalFormatting sqref="AK37">
    <cfRule type="cellIs" dxfId="790" priority="682" stopIfTrue="1" operator="greaterThan">
      <formula>1.2</formula>
    </cfRule>
  </conditionalFormatting>
  <conditionalFormatting sqref="AK38">
    <cfRule type="cellIs" dxfId="789" priority="681" stopIfTrue="1" operator="between">
      <formula>0.8</formula>
      <formula>1.2</formula>
    </cfRule>
  </conditionalFormatting>
  <conditionalFormatting sqref="AK38">
    <cfRule type="cellIs" dxfId="788" priority="680" stopIfTrue="1" operator="lessThan">
      <formula>0.8</formula>
    </cfRule>
  </conditionalFormatting>
  <conditionalFormatting sqref="AK38">
    <cfRule type="cellIs" dxfId="787" priority="679" stopIfTrue="1" operator="greaterThan">
      <formula>1.2</formula>
    </cfRule>
  </conditionalFormatting>
  <conditionalFormatting sqref="AK39">
    <cfRule type="cellIs" dxfId="786" priority="678" stopIfTrue="1" operator="between">
      <formula>0.8</formula>
      <formula>1.2</formula>
    </cfRule>
  </conditionalFormatting>
  <conditionalFormatting sqref="AK39">
    <cfRule type="cellIs" dxfId="785" priority="677" stopIfTrue="1" operator="lessThan">
      <formula>0.8</formula>
    </cfRule>
  </conditionalFormatting>
  <conditionalFormatting sqref="AK39">
    <cfRule type="cellIs" dxfId="784" priority="676" stopIfTrue="1" operator="greaterThan">
      <formula>1.2</formula>
    </cfRule>
  </conditionalFormatting>
  <conditionalFormatting sqref="AK40">
    <cfRule type="cellIs" dxfId="783" priority="675" stopIfTrue="1" operator="between">
      <formula>0.8</formula>
      <formula>1.2</formula>
    </cfRule>
  </conditionalFormatting>
  <conditionalFormatting sqref="AK40">
    <cfRule type="cellIs" dxfId="782" priority="674" stopIfTrue="1" operator="lessThan">
      <formula>0.8</formula>
    </cfRule>
  </conditionalFormatting>
  <conditionalFormatting sqref="AK40">
    <cfRule type="cellIs" dxfId="781" priority="673" stopIfTrue="1" operator="greaterThan">
      <formula>1.2</formula>
    </cfRule>
  </conditionalFormatting>
  <conditionalFormatting sqref="AK41">
    <cfRule type="cellIs" dxfId="780" priority="672" stopIfTrue="1" operator="between">
      <formula>0.8</formula>
      <formula>1.2</formula>
    </cfRule>
  </conditionalFormatting>
  <conditionalFormatting sqref="AK41">
    <cfRule type="cellIs" dxfId="779" priority="671" stopIfTrue="1" operator="lessThan">
      <formula>0.8</formula>
    </cfRule>
  </conditionalFormatting>
  <conditionalFormatting sqref="AK41">
    <cfRule type="cellIs" dxfId="778" priority="670" stopIfTrue="1" operator="greaterThan">
      <formula>1.2</formula>
    </cfRule>
  </conditionalFormatting>
  <conditionalFormatting sqref="AK42">
    <cfRule type="cellIs" dxfId="777" priority="669" stopIfTrue="1" operator="between">
      <formula>0.8</formula>
      <formula>1.2</formula>
    </cfRule>
  </conditionalFormatting>
  <conditionalFormatting sqref="AK42">
    <cfRule type="cellIs" dxfId="776" priority="668" stopIfTrue="1" operator="lessThan">
      <formula>0.8</formula>
    </cfRule>
  </conditionalFormatting>
  <conditionalFormatting sqref="AK42">
    <cfRule type="cellIs" dxfId="775" priority="667" stopIfTrue="1" operator="greaterThan">
      <formula>1.2</formula>
    </cfRule>
  </conditionalFormatting>
  <conditionalFormatting sqref="AK43">
    <cfRule type="cellIs" dxfId="774" priority="666" stopIfTrue="1" operator="between">
      <formula>0.8</formula>
      <formula>1.2</formula>
    </cfRule>
  </conditionalFormatting>
  <conditionalFormatting sqref="AK43">
    <cfRule type="cellIs" dxfId="773" priority="665" stopIfTrue="1" operator="lessThan">
      <formula>0.8</formula>
    </cfRule>
  </conditionalFormatting>
  <conditionalFormatting sqref="AK43">
    <cfRule type="cellIs" dxfId="772" priority="664" stopIfTrue="1" operator="greaterThan">
      <formula>1.2</formula>
    </cfRule>
  </conditionalFormatting>
  <conditionalFormatting sqref="AK44">
    <cfRule type="cellIs" dxfId="771" priority="663" stopIfTrue="1" operator="between">
      <formula>0.8</formula>
      <formula>1.2</formula>
    </cfRule>
  </conditionalFormatting>
  <conditionalFormatting sqref="AK44">
    <cfRule type="cellIs" dxfId="770" priority="662" stopIfTrue="1" operator="lessThan">
      <formula>0.8</formula>
    </cfRule>
  </conditionalFormatting>
  <conditionalFormatting sqref="AK44">
    <cfRule type="cellIs" dxfId="769" priority="661" stopIfTrue="1" operator="greaterThan">
      <formula>1.2</formula>
    </cfRule>
  </conditionalFormatting>
  <conditionalFormatting sqref="AL25">
    <cfRule type="cellIs" dxfId="768" priority="660" stopIfTrue="1" operator="between">
      <formula>0.8</formula>
      <formula>1.2</formula>
    </cfRule>
  </conditionalFormatting>
  <conditionalFormatting sqref="AL25">
    <cfRule type="cellIs" dxfId="767" priority="659" stopIfTrue="1" operator="lessThan">
      <formula>0.8</formula>
    </cfRule>
  </conditionalFormatting>
  <conditionalFormatting sqref="AL25">
    <cfRule type="cellIs" dxfId="766" priority="658" stopIfTrue="1" operator="greaterThan">
      <formula>1.2</formula>
    </cfRule>
  </conditionalFormatting>
  <conditionalFormatting sqref="AL26">
    <cfRule type="cellIs" dxfId="765" priority="657" stopIfTrue="1" operator="between">
      <formula>0.8</formula>
      <formula>1.2</formula>
    </cfRule>
  </conditionalFormatting>
  <conditionalFormatting sqref="AL26">
    <cfRule type="cellIs" dxfId="764" priority="656" stopIfTrue="1" operator="lessThan">
      <formula>0.8</formula>
    </cfRule>
  </conditionalFormatting>
  <conditionalFormatting sqref="AL26">
    <cfRule type="cellIs" dxfId="763" priority="655" stopIfTrue="1" operator="greaterThan">
      <formula>1.2</formula>
    </cfRule>
  </conditionalFormatting>
  <conditionalFormatting sqref="AL27">
    <cfRule type="cellIs" dxfId="762" priority="654" stopIfTrue="1" operator="between">
      <formula>0.8</formula>
      <formula>1.2</formula>
    </cfRule>
  </conditionalFormatting>
  <conditionalFormatting sqref="AL27">
    <cfRule type="cellIs" dxfId="761" priority="653" stopIfTrue="1" operator="lessThan">
      <formula>0.8</formula>
    </cfRule>
  </conditionalFormatting>
  <conditionalFormatting sqref="AL27">
    <cfRule type="cellIs" dxfId="760" priority="652" stopIfTrue="1" operator="greaterThan">
      <formula>1.2</formula>
    </cfRule>
  </conditionalFormatting>
  <conditionalFormatting sqref="AL28">
    <cfRule type="cellIs" dxfId="759" priority="651" stopIfTrue="1" operator="between">
      <formula>0.8</formula>
      <formula>1.2</formula>
    </cfRule>
  </conditionalFormatting>
  <conditionalFormatting sqref="AL28">
    <cfRule type="cellIs" dxfId="758" priority="650" stopIfTrue="1" operator="lessThan">
      <formula>0.8</formula>
    </cfRule>
  </conditionalFormatting>
  <conditionalFormatting sqref="AL28">
    <cfRule type="cellIs" dxfId="757" priority="649" stopIfTrue="1" operator="greaterThan">
      <formula>1.2</formula>
    </cfRule>
  </conditionalFormatting>
  <conditionalFormatting sqref="AL29">
    <cfRule type="cellIs" dxfId="756" priority="648" stopIfTrue="1" operator="between">
      <formula>0.8</formula>
      <formula>1.2</formula>
    </cfRule>
  </conditionalFormatting>
  <conditionalFormatting sqref="AL29">
    <cfRule type="cellIs" dxfId="755" priority="647" stopIfTrue="1" operator="lessThan">
      <formula>0.8</formula>
    </cfRule>
  </conditionalFormatting>
  <conditionalFormatting sqref="AL29">
    <cfRule type="cellIs" dxfId="754" priority="646" stopIfTrue="1" operator="greaterThan">
      <formula>1.2</formula>
    </cfRule>
  </conditionalFormatting>
  <conditionalFormatting sqref="AL30">
    <cfRule type="cellIs" dxfId="753" priority="645" stopIfTrue="1" operator="between">
      <formula>0.8</formula>
      <formula>1.2</formula>
    </cfRule>
  </conditionalFormatting>
  <conditionalFormatting sqref="AL30">
    <cfRule type="cellIs" dxfId="752" priority="644" stopIfTrue="1" operator="lessThan">
      <formula>0.8</formula>
    </cfRule>
  </conditionalFormatting>
  <conditionalFormatting sqref="AL30">
    <cfRule type="cellIs" dxfId="751" priority="643" stopIfTrue="1" operator="greaterThan">
      <formula>1.2</formula>
    </cfRule>
  </conditionalFormatting>
  <conditionalFormatting sqref="AL31">
    <cfRule type="cellIs" dxfId="750" priority="642" stopIfTrue="1" operator="between">
      <formula>0.8</formula>
      <formula>1.2</formula>
    </cfRule>
  </conditionalFormatting>
  <conditionalFormatting sqref="AL31">
    <cfRule type="cellIs" dxfId="749" priority="641" stopIfTrue="1" operator="lessThan">
      <formula>0.8</formula>
    </cfRule>
  </conditionalFormatting>
  <conditionalFormatting sqref="AL31">
    <cfRule type="cellIs" dxfId="748" priority="640" stopIfTrue="1" operator="greaterThan">
      <formula>1.2</formula>
    </cfRule>
  </conditionalFormatting>
  <conditionalFormatting sqref="AL32">
    <cfRule type="cellIs" dxfId="747" priority="639" stopIfTrue="1" operator="between">
      <formula>0.8</formula>
      <formula>1.2</formula>
    </cfRule>
  </conditionalFormatting>
  <conditionalFormatting sqref="AL32">
    <cfRule type="cellIs" dxfId="746" priority="638" stopIfTrue="1" operator="lessThan">
      <formula>0.8</formula>
    </cfRule>
  </conditionalFormatting>
  <conditionalFormatting sqref="AL32">
    <cfRule type="cellIs" dxfId="745" priority="637" stopIfTrue="1" operator="greaterThan">
      <formula>1.2</formula>
    </cfRule>
  </conditionalFormatting>
  <conditionalFormatting sqref="AL33">
    <cfRule type="cellIs" dxfId="744" priority="636" stopIfTrue="1" operator="between">
      <formula>0.8</formula>
      <formula>1.2</formula>
    </cfRule>
  </conditionalFormatting>
  <conditionalFormatting sqref="AL33">
    <cfRule type="cellIs" dxfId="743" priority="635" stopIfTrue="1" operator="lessThan">
      <formula>0.8</formula>
    </cfRule>
  </conditionalFormatting>
  <conditionalFormatting sqref="AL33">
    <cfRule type="cellIs" dxfId="742" priority="634" stopIfTrue="1" operator="greaterThan">
      <formula>1.2</formula>
    </cfRule>
  </conditionalFormatting>
  <conditionalFormatting sqref="AL34">
    <cfRule type="cellIs" dxfId="741" priority="633" stopIfTrue="1" operator="between">
      <formula>0.8</formula>
      <formula>1.2</formula>
    </cfRule>
  </conditionalFormatting>
  <conditionalFormatting sqref="AL34">
    <cfRule type="cellIs" dxfId="740" priority="632" stopIfTrue="1" operator="lessThan">
      <formula>0.8</formula>
    </cfRule>
  </conditionalFormatting>
  <conditionalFormatting sqref="AL34">
    <cfRule type="cellIs" dxfId="739" priority="631" stopIfTrue="1" operator="greaterThan">
      <formula>1.2</formula>
    </cfRule>
  </conditionalFormatting>
  <conditionalFormatting sqref="AL35">
    <cfRule type="cellIs" dxfId="738" priority="630" stopIfTrue="1" operator="between">
      <formula>0.8</formula>
      <formula>1.2</formula>
    </cfRule>
  </conditionalFormatting>
  <conditionalFormatting sqref="AL35">
    <cfRule type="cellIs" dxfId="737" priority="629" stopIfTrue="1" operator="lessThan">
      <formula>0.8</formula>
    </cfRule>
  </conditionalFormatting>
  <conditionalFormatting sqref="AL35">
    <cfRule type="cellIs" dxfId="736" priority="628" stopIfTrue="1" operator="greaterThan">
      <formula>1.2</formula>
    </cfRule>
  </conditionalFormatting>
  <conditionalFormatting sqref="AL36">
    <cfRule type="cellIs" dxfId="735" priority="627" stopIfTrue="1" operator="between">
      <formula>0.8</formula>
      <formula>1.2</formula>
    </cfRule>
  </conditionalFormatting>
  <conditionalFormatting sqref="AL36">
    <cfRule type="cellIs" dxfId="734" priority="626" stopIfTrue="1" operator="lessThan">
      <formula>0.8</formula>
    </cfRule>
  </conditionalFormatting>
  <conditionalFormatting sqref="AL36">
    <cfRule type="cellIs" dxfId="733" priority="625" stopIfTrue="1" operator="greaterThan">
      <formula>1.2</formula>
    </cfRule>
  </conditionalFormatting>
  <conditionalFormatting sqref="AL37">
    <cfRule type="cellIs" dxfId="732" priority="624" stopIfTrue="1" operator="between">
      <formula>0.8</formula>
      <formula>1.2</formula>
    </cfRule>
  </conditionalFormatting>
  <conditionalFormatting sqref="AL37">
    <cfRule type="cellIs" dxfId="731" priority="623" stopIfTrue="1" operator="lessThan">
      <formula>0.8</formula>
    </cfRule>
  </conditionalFormatting>
  <conditionalFormatting sqref="AL37">
    <cfRule type="cellIs" dxfId="730" priority="622" stopIfTrue="1" operator="greaterThan">
      <formula>1.2</formula>
    </cfRule>
  </conditionalFormatting>
  <conditionalFormatting sqref="AL38">
    <cfRule type="cellIs" dxfId="729" priority="621" stopIfTrue="1" operator="between">
      <formula>0.8</formula>
      <formula>1.2</formula>
    </cfRule>
  </conditionalFormatting>
  <conditionalFormatting sqref="AL38">
    <cfRule type="cellIs" dxfId="728" priority="620" stopIfTrue="1" operator="lessThan">
      <formula>0.8</formula>
    </cfRule>
  </conditionalFormatting>
  <conditionalFormatting sqref="AL38">
    <cfRule type="cellIs" dxfId="727" priority="619" stopIfTrue="1" operator="greaterThan">
      <formula>1.2</formula>
    </cfRule>
  </conditionalFormatting>
  <conditionalFormatting sqref="AL39">
    <cfRule type="cellIs" dxfId="726" priority="618" stopIfTrue="1" operator="between">
      <formula>0.8</formula>
      <formula>1.2</formula>
    </cfRule>
  </conditionalFormatting>
  <conditionalFormatting sqref="AL39">
    <cfRule type="cellIs" dxfId="725" priority="617" stopIfTrue="1" operator="lessThan">
      <formula>0.8</formula>
    </cfRule>
  </conditionalFormatting>
  <conditionalFormatting sqref="AL39">
    <cfRule type="cellIs" dxfId="724" priority="616" stopIfTrue="1" operator="greaterThan">
      <formula>1.2</formula>
    </cfRule>
  </conditionalFormatting>
  <conditionalFormatting sqref="AL40">
    <cfRule type="cellIs" dxfId="723" priority="615" stopIfTrue="1" operator="between">
      <formula>0.8</formula>
      <formula>1.2</formula>
    </cfRule>
  </conditionalFormatting>
  <conditionalFormatting sqref="AL40">
    <cfRule type="cellIs" dxfId="722" priority="614" stopIfTrue="1" operator="lessThan">
      <formula>0.8</formula>
    </cfRule>
  </conditionalFormatting>
  <conditionalFormatting sqref="AL40">
    <cfRule type="cellIs" dxfId="721" priority="613" stopIfTrue="1" operator="greaterThan">
      <formula>1.2</formula>
    </cfRule>
  </conditionalFormatting>
  <conditionalFormatting sqref="AL41">
    <cfRule type="cellIs" dxfId="720" priority="612" stopIfTrue="1" operator="between">
      <formula>0.8</formula>
      <formula>1.2</formula>
    </cfRule>
  </conditionalFormatting>
  <conditionalFormatting sqref="AL41">
    <cfRule type="cellIs" dxfId="719" priority="611" stopIfTrue="1" operator="lessThan">
      <formula>0.8</formula>
    </cfRule>
  </conditionalFormatting>
  <conditionalFormatting sqref="AL41">
    <cfRule type="cellIs" dxfId="718" priority="610" stopIfTrue="1" operator="greaterThan">
      <formula>1.2</formula>
    </cfRule>
  </conditionalFormatting>
  <conditionalFormatting sqref="AL42">
    <cfRule type="cellIs" dxfId="717" priority="609" stopIfTrue="1" operator="between">
      <formula>0.8</formula>
      <formula>1.2</formula>
    </cfRule>
  </conditionalFormatting>
  <conditionalFormatting sqref="AL42">
    <cfRule type="cellIs" dxfId="716" priority="608" stopIfTrue="1" operator="lessThan">
      <formula>0.8</formula>
    </cfRule>
  </conditionalFormatting>
  <conditionalFormatting sqref="AL42">
    <cfRule type="cellIs" dxfId="715" priority="607" stopIfTrue="1" operator="greaterThan">
      <formula>1.2</formula>
    </cfRule>
  </conditionalFormatting>
  <conditionalFormatting sqref="AL43">
    <cfRule type="cellIs" dxfId="714" priority="606" stopIfTrue="1" operator="between">
      <formula>0.8</formula>
      <formula>1.2</formula>
    </cfRule>
  </conditionalFormatting>
  <conditionalFormatting sqref="AL43">
    <cfRule type="cellIs" dxfId="713" priority="605" stopIfTrue="1" operator="lessThan">
      <formula>0.8</formula>
    </cfRule>
  </conditionalFormatting>
  <conditionalFormatting sqref="AL43">
    <cfRule type="cellIs" dxfId="712" priority="604" stopIfTrue="1" operator="greaterThan">
      <formula>1.2</formula>
    </cfRule>
  </conditionalFormatting>
  <conditionalFormatting sqref="AL44">
    <cfRule type="cellIs" dxfId="711" priority="603" stopIfTrue="1" operator="between">
      <formula>0.8</formula>
      <formula>1.2</formula>
    </cfRule>
  </conditionalFormatting>
  <conditionalFormatting sqref="AL44">
    <cfRule type="cellIs" dxfId="710" priority="602" stopIfTrue="1" operator="lessThan">
      <formula>0.8</formula>
    </cfRule>
  </conditionalFormatting>
  <conditionalFormatting sqref="AL44">
    <cfRule type="cellIs" dxfId="709" priority="601" stopIfTrue="1" operator="greaterThan">
      <formula>1.2</formula>
    </cfRule>
  </conditionalFormatting>
  <conditionalFormatting sqref="AM25">
    <cfRule type="cellIs" dxfId="708" priority="600" stopIfTrue="1" operator="between">
      <formula>0.8</formula>
      <formula>1.2</formula>
    </cfRule>
  </conditionalFormatting>
  <conditionalFormatting sqref="AM25">
    <cfRule type="cellIs" dxfId="707" priority="599" stopIfTrue="1" operator="lessThan">
      <formula>0.8</formula>
    </cfRule>
  </conditionalFormatting>
  <conditionalFormatting sqref="AM25">
    <cfRule type="cellIs" dxfId="706" priority="598" stopIfTrue="1" operator="greaterThan">
      <formula>1.2</formula>
    </cfRule>
  </conditionalFormatting>
  <conditionalFormatting sqref="AM26">
    <cfRule type="cellIs" dxfId="705" priority="597" stopIfTrue="1" operator="between">
      <formula>0.8</formula>
      <formula>1.2</formula>
    </cfRule>
  </conditionalFormatting>
  <conditionalFormatting sqref="AM26">
    <cfRule type="cellIs" dxfId="704" priority="596" stopIfTrue="1" operator="lessThan">
      <formula>0.8</formula>
    </cfRule>
  </conditionalFormatting>
  <conditionalFormatting sqref="AM26">
    <cfRule type="cellIs" dxfId="703" priority="595" stopIfTrue="1" operator="greaterThan">
      <formula>1.2</formula>
    </cfRule>
  </conditionalFormatting>
  <conditionalFormatting sqref="AM27">
    <cfRule type="cellIs" dxfId="702" priority="594" stopIfTrue="1" operator="between">
      <formula>0.8</formula>
      <formula>1.2</formula>
    </cfRule>
  </conditionalFormatting>
  <conditionalFormatting sqref="AM27">
    <cfRule type="cellIs" dxfId="701" priority="593" stopIfTrue="1" operator="lessThan">
      <formula>0.8</formula>
    </cfRule>
  </conditionalFormatting>
  <conditionalFormatting sqref="AM27">
    <cfRule type="cellIs" dxfId="700" priority="592" stopIfTrue="1" operator="greaterThan">
      <formula>1.2</formula>
    </cfRule>
  </conditionalFormatting>
  <conditionalFormatting sqref="AM28">
    <cfRule type="cellIs" dxfId="699" priority="591" stopIfTrue="1" operator="between">
      <formula>0.8</formula>
      <formula>1.2</formula>
    </cfRule>
  </conditionalFormatting>
  <conditionalFormatting sqref="AM28">
    <cfRule type="cellIs" dxfId="698" priority="590" stopIfTrue="1" operator="lessThan">
      <formula>0.8</formula>
    </cfRule>
  </conditionalFormatting>
  <conditionalFormatting sqref="AM28">
    <cfRule type="cellIs" dxfId="697" priority="589" stopIfTrue="1" operator="greaterThan">
      <formula>1.2</formula>
    </cfRule>
  </conditionalFormatting>
  <conditionalFormatting sqref="AM29">
    <cfRule type="cellIs" dxfId="696" priority="588" stopIfTrue="1" operator="between">
      <formula>0.8</formula>
      <formula>1.2</formula>
    </cfRule>
  </conditionalFormatting>
  <conditionalFormatting sqref="AM29">
    <cfRule type="cellIs" dxfId="695" priority="587" stopIfTrue="1" operator="lessThan">
      <formula>0.8</formula>
    </cfRule>
  </conditionalFormatting>
  <conditionalFormatting sqref="AM29">
    <cfRule type="cellIs" dxfId="694" priority="586" stopIfTrue="1" operator="greaterThan">
      <formula>1.2</formula>
    </cfRule>
  </conditionalFormatting>
  <conditionalFormatting sqref="AM30">
    <cfRule type="cellIs" dxfId="693" priority="585" stopIfTrue="1" operator="between">
      <formula>0.8</formula>
      <formula>1.2</formula>
    </cfRule>
  </conditionalFormatting>
  <conditionalFormatting sqref="AM30">
    <cfRule type="cellIs" dxfId="692" priority="584" stopIfTrue="1" operator="lessThan">
      <formula>0.8</formula>
    </cfRule>
  </conditionalFormatting>
  <conditionalFormatting sqref="AM30">
    <cfRule type="cellIs" dxfId="691" priority="583" stopIfTrue="1" operator="greaterThan">
      <formula>1.2</formula>
    </cfRule>
  </conditionalFormatting>
  <conditionalFormatting sqref="AM31">
    <cfRule type="cellIs" dxfId="690" priority="582" stopIfTrue="1" operator="between">
      <formula>0.8</formula>
      <formula>1.2</formula>
    </cfRule>
  </conditionalFormatting>
  <conditionalFormatting sqref="AM31">
    <cfRule type="cellIs" dxfId="689" priority="581" stopIfTrue="1" operator="lessThan">
      <formula>0.8</formula>
    </cfRule>
  </conditionalFormatting>
  <conditionalFormatting sqref="AM31">
    <cfRule type="cellIs" dxfId="688" priority="580" stopIfTrue="1" operator="greaterThan">
      <formula>1.2</formula>
    </cfRule>
  </conditionalFormatting>
  <conditionalFormatting sqref="AM32">
    <cfRule type="cellIs" dxfId="687" priority="579" stopIfTrue="1" operator="between">
      <formula>0.8</formula>
      <formula>1.2</formula>
    </cfRule>
  </conditionalFormatting>
  <conditionalFormatting sqref="AM32">
    <cfRule type="cellIs" dxfId="686" priority="578" stopIfTrue="1" operator="lessThan">
      <formula>0.8</formula>
    </cfRule>
  </conditionalFormatting>
  <conditionalFormatting sqref="AM32">
    <cfRule type="cellIs" dxfId="685" priority="577" stopIfTrue="1" operator="greaterThan">
      <formula>1.2</formula>
    </cfRule>
  </conditionalFormatting>
  <conditionalFormatting sqref="AM33">
    <cfRule type="cellIs" dxfId="684" priority="576" stopIfTrue="1" operator="between">
      <formula>0.8</formula>
      <formula>1.2</formula>
    </cfRule>
  </conditionalFormatting>
  <conditionalFormatting sqref="AM33">
    <cfRule type="cellIs" dxfId="683" priority="575" stopIfTrue="1" operator="lessThan">
      <formula>0.8</formula>
    </cfRule>
  </conditionalFormatting>
  <conditionalFormatting sqref="AM33">
    <cfRule type="cellIs" dxfId="682" priority="574" stopIfTrue="1" operator="greaterThan">
      <formula>1.2</formula>
    </cfRule>
  </conditionalFormatting>
  <conditionalFormatting sqref="AM34">
    <cfRule type="cellIs" dxfId="681" priority="573" stopIfTrue="1" operator="between">
      <formula>0.8</formula>
      <formula>1.2</formula>
    </cfRule>
  </conditionalFormatting>
  <conditionalFormatting sqref="AM34">
    <cfRule type="cellIs" dxfId="680" priority="572" stopIfTrue="1" operator="lessThan">
      <formula>0.8</formula>
    </cfRule>
  </conditionalFormatting>
  <conditionalFormatting sqref="AM34">
    <cfRule type="cellIs" dxfId="679" priority="571" stopIfTrue="1" operator="greaterThan">
      <formula>1.2</formula>
    </cfRule>
  </conditionalFormatting>
  <conditionalFormatting sqref="AM35">
    <cfRule type="cellIs" dxfId="678" priority="570" stopIfTrue="1" operator="between">
      <formula>0.8</formula>
      <formula>1.2</formula>
    </cfRule>
  </conditionalFormatting>
  <conditionalFormatting sqref="AM35">
    <cfRule type="cellIs" dxfId="677" priority="569" stopIfTrue="1" operator="lessThan">
      <formula>0.8</formula>
    </cfRule>
  </conditionalFormatting>
  <conditionalFormatting sqref="AM35">
    <cfRule type="cellIs" dxfId="676" priority="568" stopIfTrue="1" operator="greaterThan">
      <formula>1.2</formula>
    </cfRule>
  </conditionalFormatting>
  <conditionalFormatting sqref="AM36">
    <cfRule type="cellIs" dxfId="675" priority="567" stopIfTrue="1" operator="between">
      <formula>0.8</formula>
      <formula>1.2</formula>
    </cfRule>
  </conditionalFormatting>
  <conditionalFormatting sqref="AM36">
    <cfRule type="cellIs" dxfId="674" priority="566" stopIfTrue="1" operator="lessThan">
      <formula>0.8</formula>
    </cfRule>
  </conditionalFormatting>
  <conditionalFormatting sqref="AM36">
    <cfRule type="cellIs" dxfId="673" priority="565" stopIfTrue="1" operator="greaterThan">
      <formula>1.2</formula>
    </cfRule>
  </conditionalFormatting>
  <conditionalFormatting sqref="AM37">
    <cfRule type="cellIs" dxfId="672" priority="564" stopIfTrue="1" operator="between">
      <formula>0.8</formula>
      <formula>1.2</formula>
    </cfRule>
  </conditionalFormatting>
  <conditionalFormatting sqref="AM37">
    <cfRule type="cellIs" dxfId="671" priority="563" stopIfTrue="1" operator="lessThan">
      <formula>0.8</formula>
    </cfRule>
  </conditionalFormatting>
  <conditionalFormatting sqref="AM37">
    <cfRule type="cellIs" dxfId="670" priority="562" stopIfTrue="1" operator="greaterThan">
      <formula>1.2</formula>
    </cfRule>
  </conditionalFormatting>
  <conditionalFormatting sqref="AM38">
    <cfRule type="cellIs" dxfId="669" priority="561" stopIfTrue="1" operator="between">
      <formula>0.8</formula>
      <formula>1.2</formula>
    </cfRule>
  </conditionalFormatting>
  <conditionalFormatting sqref="AM38">
    <cfRule type="cellIs" dxfId="668" priority="560" stopIfTrue="1" operator="lessThan">
      <formula>0.8</formula>
    </cfRule>
  </conditionalFormatting>
  <conditionalFormatting sqref="AM38">
    <cfRule type="cellIs" dxfId="667" priority="559" stopIfTrue="1" operator="greaterThan">
      <formula>1.2</formula>
    </cfRule>
  </conditionalFormatting>
  <conditionalFormatting sqref="AM39">
    <cfRule type="cellIs" dxfId="666" priority="558" stopIfTrue="1" operator="between">
      <formula>0.8</formula>
      <formula>1.2</formula>
    </cfRule>
  </conditionalFormatting>
  <conditionalFormatting sqref="AM39">
    <cfRule type="cellIs" dxfId="665" priority="557" stopIfTrue="1" operator="lessThan">
      <formula>0.8</formula>
    </cfRule>
  </conditionalFormatting>
  <conditionalFormatting sqref="AM39">
    <cfRule type="cellIs" dxfId="664" priority="556" stopIfTrue="1" operator="greaterThan">
      <formula>1.2</formula>
    </cfRule>
  </conditionalFormatting>
  <conditionalFormatting sqref="AM40">
    <cfRule type="cellIs" dxfId="663" priority="555" stopIfTrue="1" operator="between">
      <formula>0.8</formula>
      <formula>1.2</formula>
    </cfRule>
  </conditionalFormatting>
  <conditionalFormatting sqref="AM40">
    <cfRule type="cellIs" dxfId="662" priority="554" stopIfTrue="1" operator="lessThan">
      <formula>0.8</formula>
    </cfRule>
  </conditionalFormatting>
  <conditionalFormatting sqref="AM40">
    <cfRule type="cellIs" dxfId="661" priority="553" stopIfTrue="1" operator="greaterThan">
      <formula>1.2</formula>
    </cfRule>
  </conditionalFormatting>
  <conditionalFormatting sqref="AM41">
    <cfRule type="cellIs" dxfId="660" priority="552" stopIfTrue="1" operator="between">
      <formula>0.8</formula>
      <formula>1.2</formula>
    </cfRule>
  </conditionalFormatting>
  <conditionalFormatting sqref="AM41">
    <cfRule type="cellIs" dxfId="659" priority="551" stopIfTrue="1" operator="lessThan">
      <formula>0.8</formula>
    </cfRule>
  </conditionalFormatting>
  <conditionalFormatting sqref="AM41">
    <cfRule type="cellIs" dxfId="658" priority="550" stopIfTrue="1" operator="greaterThan">
      <formula>1.2</formula>
    </cfRule>
  </conditionalFormatting>
  <conditionalFormatting sqref="AM42">
    <cfRule type="cellIs" dxfId="657" priority="549" stopIfTrue="1" operator="between">
      <formula>0.8</formula>
      <formula>1.2</formula>
    </cfRule>
  </conditionalFormatting>
  <conditionalFormatting sqref="AM42">
    <cfRule type="cellIs" dxfId="656" priority="548" stopIfTrue="1" operator="lessThan">
      <formula>0.8</formula>
    </cfRule>
  </conditionalFormatting>
  <conditionalFormatting sqref="AM42">
    <cfRule type="cellIs" dxfId="655" priority="547" stopIfTrue="1" operator="greaterThan">
      <formula>1.2</formula>
    </cfRule>
  </conditionalFormatting>
  <conditionalFormatting sqref="AM43">
    <cfRule type="cellIs" dxfId="654" priority="546" stopIfTrue="1" operator="between">
      <formula>0.8</formula>
      <formula>1.2</formula>
    </cfRule>
  </conditionalFormatting>
  <conditionalFormatting sqref="AM43">
    <cfRule type="cellIs" dxfId="653" priority="545" stopIfTrue="1" operator="lessThan">
      <formula>0.8</formula>
    </cfRule>
  </conditionalFormatting>
  <conditionalFormatting sqref="AM43">
    <cfRule type="cellIs" dxfId="652" priority="544" stopIfTrue="1" operator="greaterThan">
      <formula>1.2</formula>
    </cfRule>
  </conditionalFormatting>
  <conditionalFormatting sqref="AM44">
    <cfRule type="cellIs" dxfId="651" priority="543" stopIfTrue="1" operator="between">
      <formula>0.8</formula>
      <formula>1.2</formula>
    </cfRule>
  </conditionalFormatting>
  <conditionalFormatting sqref="AM44">
    <cfRule type="cellIs" dxfId="650" priority="542" stopIfTrue="1" operator="lessThan">
      <formula>0.8</formula>
    </cfRule>
  </conditionalFormatting>
  <conditionalFormatting sqref="AM44">
    <cfRule type="cellIs" dxfId="649" priority="541" stopIfTrue="1" operator="greaterThan">
      <formula>1.2</formula>
    </cfRule>
  </conditionalFormatting>
  <conditionalFormatting sqref="AN25">
    <cfRule type="cellIs" dxfId="648" priority="540" stopIfTrue="1" operator="between">
      <formula>0.8</formula>
      <formula>1.2</formula>
    </cfRule>
  </conditionalFormatting>
  <conditionalFormatting sqref="AN25">
    <cfRule type="cellIs" dxfId="647" priority="539" stopIfTrue="1" operator="lessThan">
      <formula>0.8</formula>
    </cfRule>
  </conditionalFormatting>
  <conditionalFormatting sqref="AN25">
    <cfRule type="cellIs" dxfId="646" priority="538" stopIfTrue="1" operator="greaterThan">
      <formula>1.2</formula>
    </cfRule>
  </conditionalFormatting>
  <conditionalFormatting sqref="AN26">
    <cfRule type="cellIs" dxfId="645" priority="537" stopIfTrue="1" operator="between">
      <formula>0.8</formula>
      <formula>1.2</formula>
    </cfRule>
  </conditionalFormatting>
  <conditionalFormatting sqref="AN26">
    <cfRule type="cellIs" dxfId="644" priority="536" stopIfTrue="1" operator="lessThan">
      <formula>0.8</formula>
    </cfRule>
  </conditionalFormatting>
  <conditionalFormatting sqref="AN26">
    <cfRule type="cellIs" dxfId="643" priority="535" stopIfTrue="1" operator="greaterThan">
      <formula>1.2</formula>
    </cfRule>
  </conditionalFormatting>
  <conditionalFormatting sqref="AN27">
    <cfRule type="cellIs" dxfId="642" priority="534" stopIfTrue="1" operator="between">
      <formula>0.8</formula>
      <formula>1.2</formula>
    </cfRule>
  </conditionalFormatting>
  <conditionalFormatting sqref="AN27">
    <cfRule type="cellIs" dxfId="641" priority="533" stopIfTrue="1" operator="lessThan">
      <formula>0.8</formula>
    </cfRule>
  </conditionalFormatting>
  <conditionalFormatting sqref="AN27">
    <cfRule type="cellIs" dxfId="640" priority="532" stopIfTrue="1" operator="greaterThan">
      <formula>1.2</formula>
    </cfRule>
  </conditionalFormatting>
  <conditionalFormatting sqref="AN28">
    <cfRule type="cellIs" dxfId="639" priority="531" stopIfTrue="1" operator="between">
      <formula>0.8</formula>
      <formula>1.2</formula>
    </cfRule>
  </conditionalFormatting>
  <conditionalFormatting sqref="AN28">
    <cfRule type="cellIs" dxfId="638" priority="530" stopIfTrue="1" operator="lessThan">
      <formula>0.8</formula>
    </cfRule>
  </conditionalFormatting>
  <conditionalFormatting sqref="AN28">
    <cfRule type="cellIs" dxfId="637" priority="529" stopIfTrue="1" operator="greaterThan">
      <formula>1.2</formula>
    </cfRule>
  </conditionalFormatting>
  <conditionalFormatting sqref="AN29">
    <cfRule type="cellIs" dxfId="636" priority="528" stopIfTrue="1" operator="between">
      <formula>0.8</formula>
      <formula>1.2</formula>
    </cfRule>
  </conditionalFormatting>
  <conditionalFormatting sqref="AN29">
    <cfRule type="cellIs" dxfId="635" priority="527" stopIfTrue="1" operator="lessThan">
      <formula>0.8</formula>
    </cfRule>
  </conditionalFormatting>
  <conditionalFormatting sqref="AN29">
    <cfRule type="cellIs" dxfId="634" priority="526" stopIfTrue="1" operator="greaterThan">
      <formula>1.2</formula>
    </cfRule>
  </conditionalFormatting>
  <conditionalFormatting sqref="AN30">
    <cfRule type="cellIs" dxfId="633" priority="525" stopIfTrue="1" operator="between">
      <formula>0.8</formula>
      <formula>1.2</formula>
    </cfRule>
  </conditionalFormatting>
  <conditionalFormatting sqref="AN30">
    <cfRule type="cellIs" dxfId="632" priority="524" stopIfTrue="1" operator="lessThan">
      <formula>0.8</formula>
    </cfRule>
  </conditionalFormatting>
  <conditionalFormatting sqref="AN30">
    <cfRule type="cellIs" dxfId="631" priority="523" stopIfTrue="1" operator="greaterThan">
      <formula>1.2</formula>
    </cfRule>
  </conditionalFormatting>
  <conditionalFormatting sqref="AN31">
    <cfRule type="cellIs" dxfId="630" priority="522" stopIfTrue="1" operator="between">
      <formula>0.8</formula>
      <formula>1.2</formula>
    </cfRule>
  </conditionalFormatting>
  <conditionalFormatting sqref="AN31">
    <cfRule type="cellIs" dxfId="629" priority="521" stopIfTrue="1" operator="lessThan">
      <formula>0.8</formula>
    </cfRule>
  </conditionalFormatting>
  <conditionalFormatting sqref="AN31">
    <cfRule type="cellIs" dxfId="628" priority="520" stopIfTrue="1" operator="greaterThan">
      <formula>1.2</formula>
    </cfRule>
  </conditionalFormatting>
  <conditionalFormatting sqref="AN32">
    <cfRule type="cellIs" dxfId="627" priority="519" stopIfTrue="1" operator="between">
      <formula>0.8</formula>
      <formula>1.2</formula>
    </cfRule>
  </conditionalFormatting>
  <conditionalFormatting sqref="AN32">
    <cfRule type="cellIs" dxfId="626" priority="518" stopIfTrue="1" operator="lessThan">
      <formula>0.8</formula>
    </cfRule>
  </conditionalFormatting>
  <conditionalFormatting sqref="AN32">
    <cfRule type="cellIs" dxfId="625" priority="517" stopIfTrue="1" operator="greaterThan">
      <formula>1.2</formula>
    </cfRule>
  </conditionalFormatting>
  <conditionalFormatting sqref="AN33">
    <cfRule type="cellIs" dxfId="624" priority="516" stopIfTrue="1" operator="between">
      <formula>0.8</formula>
      <formula>1.2</formula>
    </cfRule>
  </conditionalFormatting>
  <conditionalFormatting sqref="AN33">
    <cfRule type="cellIs" dxfId="623" priority="515" stopIfTrue="1" operator="lessThan">
      <formula>0.8</formula>
    </cfRule>
  </conditionalFormatting>
  <conditionalFormatting sqref="AN33">
    <cfRule type="cellIs" dxfId="622" priority="514" stopIfTrue="1" operator="greaterThan">
      <formula>1.2</formula>
    </cfRule>
  </conditionalFormatting>
  <conditionalFormatting sqref="AN34">
    <cfRule type="cellIs" dxfId="621" priority="513" stopIfTrue="1" operator="between">
      <formula>0.8</formula>
      <formula>1.2</formula>
    </cfRule>
  </conditionalFormatting>
  <conditionalFormatting sqref="AN34">
    <cfRule type="cellIs" dxfId="620" priority="512" stopIfTrue="1" operator="lessThan">
      <formula>0.8</formula>
    </cfRule>
  </conditionalFormatting>
  <conditionalFormatting sqref="AN34">
    <cfRule type="cellIs" dxfId="619" priority="511" stopIfTrue="1" operator="greaterThan">
      <formula>1.2</formula>
    </cfRule>
  </conditionalFormatting>
  <conditionalFormatting sqref="AN35">
    <cfRule type="cellIs" dxfId="618" priority="510" stopIfTrue="1" operator="between">
      <formula>0.8</formula>
      <formula>1.2</formula>
    </cfRule>
  </conditionalFormatting>
  <conditionalFormatting sqref="AN35">
    <cfRule type="cellIs" dxfId="617" priority="509" stopIfTrue="1" operator="lessThan">
      <formula>0.8</formula>
    </cfRule>
  </conditionalFormatting>
  <conditionalFormatting sqref="AN35">
    <cfRule type="cellIs" dxfId="616" priority="508" stopIfTrue="1" operator="greaterThan">
      <formula>1.2</formula>
    </cfRule>
  </conditionalFormatting>
  <conditionalFormatting sqref="AN36">
    <cfRule type="cellIs" dxfId="615" priority="507" stopIfTrue="1" operator="between">
      <formula>0.8</formula>
      <formula>1.2</formula>
    </cfRule>
  </conditionalFormatting>
  <conditionalFormatting sqref="AN36">
    <cfRule type="cellIs" dxfId="614" priority="506" stopIfTrue="1" operator="lessThan">
      <formula>0.8</formula>
    </cfRule>
  </conditionalFormatting>
  <conditionalFormatting sqref="AN36">
    <cfRule type="cellIs" dxfId="613" priority="505" stopIfTrue="1" operator="greaterThan">
      <formula>1.2</formula>
    </cfRule>
  </conditionalFormatting>
  <conditionalFormatting sqref="AN37">
    <cfRule type="cellIs" dxfId="612" priority="504" stopIfTrue="1" operator="between">
      <formula>0.8</formula>
      <formula>1.2</formula>
    </cfRule>
  </conditionalFormatting>
  <conditionalFormatting sqref="AN37">
    <cfRule type="cellIs" dxfId="611" priority="503" stopIfTrue="1" operator="lessThan">
      <formula>0.8</formula>
    </cfRule>
  </conditionalFormatting>
  <conditionalFormatting sqref="AN37">
    <cfRule type="cellIs" dxfId="610" priority="502" stopIfTrue="1" operator="greaterThan">
      <formula>1.2</formula>
    </cfRule>
  </conditionalFormatting>
  <conditionalFormatting sqref="AN38">
    <cfRule type="cellIs" dxfId="609" priority="501" stopIfTrue="1" operator="between">
      <formula>0.8</formula>
      <formula>1.2</formula>
    </cfRule>
  </conditionalFormatting>
  <conditionalFormatting sqref="AN38">
    <cfRule type="cellIs" dxfId="608" priority="500" stopIfTrue="1" operator="lessThan">
      <formula>0.8</formula>
    </cfRule>
  </conditionalFormatting>
  <conditionalFormatting sqref="AN38">
    <cfRule type="cellIs" dxfId="607" priority="499" stopIfTrue="1" operator="greaterThan">
      <formula>1.2</formula>
    </cfRule>
  </conditionalFormatting>
  <conditionalFormatting sqref="AN39">
    <cfRule type="cellIs" dxfId="606" priority="498" stopIfTrue="1" operator="between">
      <formula>0.8</formula>
      <formula>1.2</formula>
    </cfRule>
  </conditionalFormatting>
  <conditionalFormatting sqref="AN39">
    <cfRule type="cellIs" dxfId="605" priority="497" stopIfTrue="1" operator="lessThan">
      <formula>0.8</formula>
    </cfRule>
  </conditionalFormatting>
  <conditionalFormatting sqref="AN39">
    <cfRule type="cellIs" dxfId="604" priority="496" stopIfTrue="1" operator="greaterThan">
      <formula>1.2</formula>
    </cfRule>
  </conditionalFormatting>
  <conditionalFormatting sqref="AN40">
    <cfRule type="cellIs" dxfId="603" priority="495" stopIfTrue="1" operator="between">
      <formula>0.8</formula>
      <formula>1.2</formula>
    </cfRule>
  </conditionalFormatting>
  <conditionalFormatting sqref="AN40">
    <cfRule type="cellIs" dxfId="602" priority="494" stopIfTrue="1" operator="lessThan">
      <formula>0.8</formula>
    </cfRule>
  </conditionalFormatting>
  <conditionalFormatting sqref="AN40">
    <cfRule type="cellIs" dxfId="601" priority="493" stopIfTrue="1" operator="greaterThan">
      <formula>1.2</formula>
    </cfRule>
  </conditionalFormatting>
  <conditionalFormatting sqref="AN41">
    <cfRule type="cellIs" dxfId="600" priority="492" stopIfTrue="1" operator="between">
      <formula>0.8</formula>
      <formula>1.2</formula>
    </cfRule>
  </conditionalFormatting>
  <conditionalFormatting sqref="AN41">
    <cfRule type="cellIs" dxfId="599" priority="491" stopIfTrue="1" operator="lessThan">
      <formula>0.8</formula>
    </cfRule>
  </conditionalFormatting>
  <conditionalFormatting sqref="AN41">
    <cfRule type="cellIs" dxfId="598" priority="490" stopIfTrue="1" operator="greaterThan">
      <formula>1.2</formula>
    </cfRule>
  </conditionalFormatting>
  <conditionalFormatting sqref="AN42">
    <cfRule type="cellIs" dxfId="597" priority="489" stopIfTrue="1" operator="between">
      <formula>0.8</formula>
      <formula>1.2</formula>
    </cfRule>
  </conditionalFormatting>
  <conditionalFormatting sqref="AN42">
    <cfRule type="cellIs" dxfId="596" priority="488" stopIfTrue="1" operator="lessThan">
      <formula>0.8</formula>
    </cfRule>
  </conditionalFormatting>
  <conditionalFormatting sqref="AN42">
    <cfRule type="cellIs" dxfId="595" priority="487" stopIfTrue="1" operator="greaterThan">
      <formula>1.2</formula>
    </cfRule>
  </conditionalFormatting>
  <conditionalFormatting sqref="AN43">
    <cfRule type="cellIs" dxfId="594" priority="486" stopIfTrue="1" operator="between">
      <formula>0.8</formula>
      <formula>1.2</formula>
    </cfRule>
  </conditionalFormatting>
  <conditionalFormatting sqref="AN43">
    <cfRule type="cellIs" dxfId="593" priority="485" stopIfTrue="1" operator="lessThan">
      <formula>0.8</formula>
    </cfRule>
  </conditionalFormatting>
  <conditionalFormatting sqref="AN43">
    <cfRule type="cellIs" dxfId="592" priority="484" stopIfTrue="1" operator="greaterThan">
      <formula>1.2</formula>
    </cfRule>
  </conditionalFormatting>
  <conditionalFormatting sqref="AN44">
    <cfRule type="cellIs" dxfId="591" priority="483" stopIfTrue="1" operator="between">
      <formula>0.8</formula>
      <formula>1.2</formula>
    </cfRule>
  </conditionalFormatting>
  <conditionalFormatting sqref="AN44">
    <cfRule type="cellIs" dxfId="590" priority="482" stopIfTrue="1" operator="lessThan">
      <formula>0.8</formula>
    </cfRule>
  </conditionalFormatting>
  <conditionalFormatting sqref="AN44">
    <cfRule type="cellIs" dxfId="589" priority="481" stopIfTrue="1" operator="greaterThan">
      <formula>1.2</formula>
    </cfRule>
  </conditionalFormatting>
  <conditionalFormatting sqref="AO25">
    <cfRule type="cellIs" dxfId="588" priority="480" stopIfTrue="1" operator="between">
      <formula>0.8</formula>
      <formula>1.2</formula>
    </cfRule>
  </conditionalFormatting>
  <conditionalFormatting sqref="AO25">
    <cfRule type="cellIs" dxfId="587" priority="479" stopIfTrue="1" operator="lessThan">
      <formula>0.8</formula>
    </cfRule>
  </conditionalFormatting>
  <conditionalFormatting sqref="AO25">
    <cfRule type="cellIs" dxfId="586" priority="478" stopIfTrue="1" operator="greaterThan">
      <formula>1.2</formula>
    </cfRule>
  </conditionalFormatting>
  <conditionalFormatting sqref="AO26">
    <cfRule type="cellIs" dxfId="585" priority="477" stopIfTrue="1" operator="between">
      <formula>0.8</formula>
      <formula>1.2</formula>
    </cfRule>
  </conditionalFormatting>
  <conditionalFormatting sqref="AO26">
    <cfRule type="cellIs" dxfId="584" priority="476" stopIfTrue="1" operator="lessThan">
      <formula>0.8</formula>
    </cfRule>
  </conditionalFormatting>
  <conditionalFormatting sqref="AO26">
    <cfRule type="cellIs" dxfId="583" priority="475" stopIfTrue="1" operator="greaterThan">
      <formula>1.2</formula>
    </cfRule>
  </conditionalFormatting>
  <conditionalFormatting sqref="AO27">
    <cfRule type="cellIs" dxfId="582" priority="474" stopIfTrue="1" operator="between">
      <formula>0.8</formula>
      <formula>1.2</formula>
    </cfRule>
  </conditionalFormatting>
  <conditionalFormatting sqref="AO27">
    <cfRule type="cellIs" dxfId="581" priority="473" stopIfTrue="1" operator="lessThan">
      <formula>0.8</formula>
    </cfRule>
  </conditionalFormatting>
  <conditionalFormatting sqref="AO27">
    <cfRule type="cellIs" dxfId="580" priority="472" stopIfTrue="1" operator="greaterThan">
      <formula>1.2</formula>
    </cfRule>
  </conditionalFormatting>
  <conditionalFormatting sqref="AO28">
    <cfRule type="cellIs" dxfId="579" priority="471" stopIfTrue="1" operator="between">
      <formula>0.8</formula>
      <formula>1.2</formula>
    </cfRule>
  </conditionalFormatting>
  <conditionalFormatting sqref="AO28">
    <cfRule type="cellIs" dxfId="578" priority="470" stopIfTrue="1" operator="lessThan">
      <formula>0.8</formula>
    </cfRule>
  </conditionalFormatting>
  <conditionalFormatting sqref="AO28">
    <cfRule type="cellIs" dxfId="577" priority="469" stopIfTrue="1" operator="greaterThan">
      <formula>1.2</formula>
    </cfRule>
  </conditionalFormatting>
  <conditionalFormatting sqref="AO29">
    <cfRule type="cellIs" dxfId="576" priority="468" stopIfTrue="1" operator="between">
      <formula>0.8</formula>
      <formula>1.2</formula>
    </cfRule>
  </conditionalFormatting>
  <conditionalFormatting sqref="AO29">
    <cfRule type="cellIs" dxfId="575" priority="467" stopIfTrue="1" operator="lessThan">
      <formula>0.8</formula>
    </cfRule>
  </conditionalFormatting>
  <conditionalFormatting sqref="AO29">
    <cfRule type="cellIs" dxfId="574" priority="466" stopIfTrue="1" operator="greaterThan">
      <formula>1.2</formula>
    </cfRule>
  </conditionalFormatting>
  <conditionalFormatting sqref="AO30">
    <cfRule type="cellIs" dxfId="573" priority="465" stopIfTrue="1" operator="between">
      <formula>0.8</formula>
      <formula>1.2</formula>
    </cfRule>
  </conditionalFormatting>
  <conditionalFormatting sqref="AO30">
    <cfRule type="cellIs" dxfId="572" priority="464" stopIfTrue="1" operator="lessThan">
      <formula>0.8</formula>
    </cfRule>
  </conditionalFormatting>
  <conditionalFormatting sqref="AO30">
    <cfRule type="cellIs" dxfId="571" priority="463" stopIfTrue="1" operator="greaterThan">
      <formula>1.2</formula>
    </cfRule>
  </conditionalFormatting>
  <conditionalFormatting sqref="AO31">
    <cfRule type="cellIs" dxfId="570" priority="462" stopIfTrue="1" operator="between">
      <formula>0.8</formula>
      <formula>1.2</formula>
    </cfRule>
  </conditionalFormatting>
  <conditionalFormatting sqref="AO31">
    <cfRule type="cellIs" dxfId="569" priority="461" stopIfTrue="1" operator="lessThan">
      <formula>0.8</formula>
    </cfRule>
  </conditionalFormatting>
  <conditionalFormatting sqref="AO31">
    <cfRule type="cellIs" dxfId="568" priority="460" stopIfTrue="1" operator="greaterThan">
      <formula>1.2</formula>
    </cfRule>
  </conditionalFormatting>
  <conditionalFormatting sqref="AO32">
    <cfRule type="cellIs" dxfId="567" priority="459" stopIfTrue="1" operator="between">
      <formula>0.8</formula>
      <formula>1.2</formula>
    </cfRule>
  </conditionalFormatting>
  <conditionalFormatting sqref="AO32">
    <cfRule type="cellIs" dxfId="566" priority="458" stopIfTrue="1" operator="lessThan">
      <formula>0.8</formula>
    </cfRule>
  </conditionalFormatting>
  <conditionalFormatting sqref="AO32">
    <cfRule type="cellIs" dxfId="565" priority="457" stopIfTrue="1" operator="greaterThan">
      <formula>1.2</formula>
    </cfRule>
  </conditionalFormatting>
  <conditionalFormatting sqref="AO33">
    <cfRule type="cellIs" dxfId="564" priority="456" stopIfTrue="1" operator="between">
      <formula>0.8</formula>
      <formula>1.2</formula>
    </cfRule>
  </conditionalFormatting>
  <conditionalFormatting sqref="AO33">
    <cfRule type="cellIs" dxfId="563" priority="455" stopIfTrue="1" operator="lessThan">
      <formula>0.8</formula>
    </cfRule>
  </conditionalFormatting>
  <conditionalFormatting sqref="AO33">
    <cfRule type="cellIs" dxfId="562" priority="454" stopIfTrue="1" operator="greaterThan">
      <formula>1.2</formula>
    </cfRule>
  </conditionalFormatting>
  <conditionalFormatting sqref="AO34">
    <cfRule type="cellIs" dxfId="561" priority="453" stopIfTrue="1" operator="between">
      <formula>0.8</formula>
      <formula>1.2</formula>
    </cfRule>
  </conditionalFormatting>
  <conditionalFormatting sqref="AO34">
    <cfRule type="cellIs" dxfId="560" priority="452" stopIfTrue="1" operator="lessThan">
      <formula>0.8</formula>
    </cfRule>
  </conditionalFormatting>
  <conditionalFormatting sqref="AO34">
    <cfRule type="cellIs" dxfId="559" priority="451" stopIfTrue="1" operator="greaterThan">
      <formula>1.2</formula>
    </cfRule>
  </conditionalFormatting>
  <conditionalFormatting sqref="AO35">
    <cfRule type="cellIs" dxfId="558" priority="450" stopIfTrue="1" operator="between">
      <formula>0.8</formula>
      <formula>1.2</formula>
    </cfRule>
  </conditionalFormatting>
  <conditionalFormatting sqref="AO35">
    <cfRule type="cellIs" dxfId="557" priority="449" stopIfTrue="1" operator="lessThan">
      <formula>0.8</formula>
    </cfRule>
  </conditionalFormatting>
  <conditionalFormatting sqref="AO35">
    <cfRule type="cellIs" dxfId="556" priority="448" stopIfTrue="1" operator="greaterThan">
      <formula>1.2</formula>
    </cfRule>
  </conditionalFormatting>
  <conditionalFormatting sqref="AO36">
    <cfRule type="cellIs" dxfId="555" priority="447" stopIfTrue="1" operator="between">
      <formula>0.8</formula>
      <formula>1.2</formula>
    </cfRule>
  </conditionalFormatting>
  <conditionalFormatting sqref="AO36">
    <cfRule type="cellIs" dxfId="554" priority="446" stopIfTrue="1" operator="lessThan">
      <formula>0.8</formula>
    </cfRule>
  </conditionalFormatting>
  <conditionalFormatting sqref="AO36">
    <cfRule type="cellIs" dxfId="553" priority="445" stopIfTrue="1" operator="greaterThan">
      <formula>1.2</formula>
    </cfRule>
  </conditionalFormatting>
  <conditionalFormatting sqref="AO37">
    <cfRule type="cellIs" dxfId="552" priority="444" stopIfTrue="1" operator="between">
      <formula>0.8</formula>
      <formula>1.2</formula>
    </cfRule>
  </conditionalFormatting>
  <conditionalFormatting sqref="AO37">
    <cfRule type="cellIs" dxfId="551" priority="443" stopIfTrue="1" operator="lessThan">
      <formula>0.8</formula>
    </cfRule>
  </conditionalFormatting>
  <conditionalFormatting sqref="AO37">
    <cfRule type="cellIs" dxfId="550" priority="442" stopIfTrue="1" operator="greaterThan">
      <formula>1.2</formula>
    </cfRule>
  </conditionalFormatting>
  <conditionalFormatting sqref="AO38">
    <cfRule type="cellIs" dxfId="549" priority="441" stopIfTrue="1" operator="between">
      <formula>0.8</formula>
      <formula>1.2</formula>
    </cfRule>
  </conditionalFormatting>
  <conditionalFormatting sqref="AO38">
    <cfRule type="cellIs" dxfId="548" priority="440" stopIfTrue="1" operator="lessThan">
      <formula>0.8</formula>
    </cfRule>
  </conditionalFormatting>
  <conditionalFormatting sqref="AO38">
    <cfRule type="cellIs" dxfId="547" priority="439" stopIfTrue="1" operator="greaterThan">
      <formula>1.2</formula>
    </cfRule>
  </conditionalFormatting>
  <conditionalFormatting sqref="AO39">
    <cfRule type="cellIs" dxfId="546" priority="438" stopIfTrue="1" operator="between">
      <formula>0.8</formula>
      <formula>1.2</formula>
    </cfRule>
  </conditionalFormatting>
  <conditionalFormatting sqref="AO39">
    <cfRule type="cellIs" dxfId="545" priority="437" stopIfTrue="1" operator="lessThan">
      <formula>0.8</formula>
    </cfRule>
  </conditionalFormatting>
  <conditionalFormatting sqref="AO39">
    <cfRule type="cellIs" dxfId="544" priority="436" stopIfTrue="1" operator="greaterThan">
      <formula>1.2</formula>
    </cfRule>
  </conditionalFormatting>
  <conditionalFormatting sqref="AO40">
    <cfRule type="cellIs" dxfId="543" priority="435" stopIfTrue="1" operator="between">
      <formula>0.8</formula>
      <formula>1.2</formula>
    </cfRule>
  </conditionalFormatting>
  <conditionalFormatting sqref="AO40">
    <cfRule type="cellIs" dxfId="542" priority="434" stopIfTrue="1" operator="lessThan">
      <formula>0.8</formula>
    </cfRule>
  </conditionalFormatting>
  <conditionalFormatting sqref="AO40">
    <cfRule type="cellIs" dxfId="541" priority="433" stopIfTrue="1" operator="greaterThan">
      <formula>1.2</formula>
    </cfRule>
  </conditionalFormatting>
  <conditionalFormatting sqref="AO41">
    <cfRule type="cellIs" dxfId="540" priority="432" stopIfTrue="1" operator="between">
      <formula>0.8</formula>
      <formula>1.2</formula>
    </cfRule>
  </conditionalFormatting>
  <conditionalFormatting sqref="AO41">
    <cfRule type="cellIs" dxfId="539" priority="431" stopIfTrue="1" operator="lessThan">
      <formula>0.8</formula>
    </cfRule>
  </conditionalFormatting>
  <conditionalFormatting sqref="AO41">
    <cfRule type="cellIs" dxfId="538" priority="430" stopIfTrue="1" operator="greaterThan">
      <formula>1.2</formula>
    </cfRule>
  </conditionalFormatting>
  <conditionalFormatting sqref="AO42">
    <cfRule type="cellIs" dxfId="537" priority="429" stopIfTrue="1" operator="between">
      <formula>0.8</formula>
      <formula>1.2</formula>
    </cfRule>
  </conditionalFormatting>
  <conditionalFormatting sqref="AO42">
    <cfRule type="cellIs" dxfId="536" priority="428" stopIfTrue="1" operator="lessThan">
      <formula>0.8</formula>
    </cfRule>
  </conditionalFormatting>
  <conditionalFormatting sqref="AO42">
    <cfRule type="cellIs" dxfId="535" priority="427" stopIfTrue="1" operator="greaterThan">
      <formula>1.2</formula>
    </cfRule>
  </conditionalFormatting>
  <conditionalFormatting sqref="AO43">
    <cfRule type="cellIs" dxfId="534" priority="426" stopIfTrue="1" operator="between">
      <formula>0.8</formula>
      <formula>1.2</formula>
    </cfRule>
  </conditionalFormatting>
  <conditionalFormatting sqref="AO43">
    <cfRule type="cellIs" dxfId="533" priority="425" stopIfTrue="1" operator="lessThan">
      <formula>0.8</formula>
    </cfRule>
  </conditionalFormatting>
  <conditionalFormatting sqref="AO43">
    <cfRule type="cellIs" dxfId="532" priority="424" stopIfTrue="1" operator="greaterThan">
      <formula>1.2</formula>
    </cfRule>
  </conditionalFormatting>
  <conditionalFormatting sqref="AO44">
    <cfRule type="cellIs" dxfId="531" priority="423" stopIfTrue="1" operator="between">
      <formula>0.8</formula>
      <formula>1.2</formula>
    </cfRule>
  </conditionalFormatting>
  <conditionalFormatting sqref="AO44">
    <cfRule type="cellIs" dxfId="530" priority="422" stopIfTrue="1" operator="lessThan">
      <formula>0.8</formula>
    </cfRule>
  </conditionalFormatting>
  <conditionalFormatting sqref="AO44">
    <cfRule type="cellIs" dxfId="529" priority="421" stopIfTrue="1" operator="greaterThan">
      <formula>1.2</formula>
    </cfRule>
  </conditionalFormatting>
  <conditionalFormatting sqref="AP25">
    <cfRule type="cellIs" dxfId="528" priority="420" stopIfTrue="1" operator="between">
      <formula>0.8</formula>
      <formula>1.2</formula>
    </cfRule>
  </conditionalFormatting>
  <conditionalFormatting sqref="AP25">
    <cfRule type="cellIs" dxfId="527" priority="419" stopIfTrue="1" operator="lessThan">
      <formula>0.8</formula>
    </cfRule>
  </conditionalFormatting>
  <conditionalFormatting sqref="AP25">
    <cfRule type="cellIs" dxfId="526" priority="418" stopIfTrue="1" operator="greaterThan">
      <formula>1.2</formula>
    </cfRule>
  </conditionalFormatting>
  <conditionalFormatting sqref="AP26">
    <cfRule type="cellIs" dxfId="525" priority="417" stopIfTrue="1" operator="between">
      <formula>0.8</formula>
      <formula>1.2</formula>
    </cfRule>
  </conditionalFormatting>
  <conditionalFormatting sqref="AP26">
    <cfRule type="cellIs" dxfId="524" priority="416" stopIfTrue="1" operator="lessThan">
      <formula>0.8</formula>
    </cfRule>
  </conditionalFormatting>
  <conditionalFormatting sqref="AP26">
    <cfRule type="cellIs" dxfId="523" priority="415" stopIfTrue="1" operator="greaterThan">
      <formula>1.2</formula>
    </cfRule>
  </conditionalFormatting>
  <conditionalFormatting sqref="AP27">
    <cfRule type="cellIs" dxfId="522" priority="414" stopIfTrue="1" operator="between">
      <formula>0.8</formula>
      <formula>1.2</formula>
    </cfRule>
  </conditionalFormatting>
  <conditionalFormatting sqref="AP27">
    <cfRule type="cellIs" dxfId="521" priority="413" stopIfTrue="1" operator="lessThan">
      <formula>0.8</formula>
    </cfRule>
  </conditionalFormatting>
  <conditionalFormatting sqref="AP27">
    <cfRule type="cellIs" dxfId="520" priority="412" stopIfTrue="1" operator="greaterThan">
      <formula>1.2</formula>
    </cfRule>
  </conditionalFormatting>
  <conditionalFormatting sqref="AP28">
    <cfRule type="cellIs" dxfId="519" priority="411" stopIfTrue="1" operator="between">
      <formula>0.8</formula>
      <formula>1.2</formula>
    </cfRule>
  </conditionalFormatting>
  <conditionalFormatting sqref="AP28">
    <cfRule type="cellIs" dxfId="518" priority="410" stopIfTrue="1" operator="lessThan">
      <formula>0.8</formula>
    </cfRule>
  </conditionalFormatting>
  <conditionalFormatting sqref="AP28">
    <cfRule type="cellIs" dxfId="517" priority="409" stopIfTrue="1" operator="greaterThan">
      <formula>1.2</formula>
    </cfRule>
  </conditionalFormatting>
  <conditionalFormatting sqref="AP29">
    <cfRule type="cellIs" dxfId="516" priority="408" stopIfTrue="1" operator="between">
      <formula>0.8</formula>
      <formula>1.2</formula>
    </cfRule>
  </conditionalFormatting>
  <conditionalFormatting sqref="AP29">
    <cfRule type="cellIs" dxfId="515" priority="407" stopIfTrue="1" operator="lessThan">
      <formula>0.8</formula>
    </cfRule>
  </conditionalFormatting>
  <conditionalFormatting sqref="AP29">
    <cfRule type="cellIs" dxfId="514" priority="406" stopIfTrue="1" operator="greaterThan">
      <formula>1.2</formula>
    </cfRule>
  </conditionalFormatting>
  <conditionalFormatting sqref="AP30">
    <cfRule type="cellIs" dxfId="513" priority="405" stopIfTrue="1" operator="between">
      <formula>0.8</formula>
      <formula>1.2</formula>
    </cfRule>
  </conditionalFormatting>
  <conditionalFormatting sqref="AP30">
    <cfRule type="cellIs" dxfId="512" priority="404" stopIfTrue="1" operator="lessThan">
      <formula>0.8</formula>
    </cfRule>
  </conditionalFormatting>
  <conditionalFormatting sqref="AP30">
    <cfRule type="cellIs" dxfId="511" priority="403" stopIfTrue="1" operator="greaterThan">
      <formula>1.2</formula>
    </cfRule>
  </conditionalFormatting>
  <conditionalFormatting sqref="AP31">
    <cfRule type="cellIs" dxfId="510" priority="402" stopIfTrue="1" operator="between">
      <formula>0.8</formula>
      <formula>1.2</formula>
    </cfRule>
  </conditionalFormatting>
  <conditionalFormatting sqref="AP31">
    <cfRule type="cellIs" dxfId="509" priority="401" stopIfTrue="1" operator="lessThan">
      <formula>0.8</formula>
    </cfRule>
  </conditionalFormatting>
  <conditionalFormatting sqref="AP31">
    <cfRule type="cellIs" dxfId="508" priority="400" stopIfTrue="1" operator="greaterThan">
      <formula>1.2</formula>
    </cfRule>
  </conditionalFormatting>
  <conditionalFormatting sqref="AP32">
    <cfRule type="cellIs" dxfId="507" priority="399" stopIfTrue="1" operator="between">
      <formula>0.8</formula>
      <formula>1.2</formula>
    </cfRule>
  </conditionalFormatting>
  <conditionalFormatting sqref="AP32">
    <cfRule type="cellIs" dxfId="506" priority="398" stopIfTrue="1" operator="lessThan">
      <formula>0.8</formula>
    </cfRule>
  </conditionalFormatting>
  <conditionalFormatting sqref="AP32">
    <cfRule type="cellIs" dxfId="505" priority="397" stopIfTrue="1" operator="greaterThan">
      <formula>1.2</formula>
    </cfRule>
  </conditionalFormatting>
  <conditionalFormatting sqref="AP33">
    <cfRule type="cellIs" dxfId="504" priority="396" stopIfTrue="1" operator="between">
      <formula>0.8</formula>
      <formula>1.2</formula>
    </cfRule>
  </conditionalFormatting>
  <conditionalFormatting sqref="AP33">
    <cfRule type="cellIs" dxfId="503" priority="395" stopIfTrue="1" operator="lessThan">
      <formula>0.8</formula>
    </cfRule>
  </conditionalFormatting>
  <conditionalFormatting sqref="AP33">
    <cfRule type="cellIs" dxfId="502" priority="394" stopIfTrue="1" operator="greaterThan">
      <formula>1.2</formula>
    </cfRule>
  </conditionalFormatting>
  <conditionalFormatting sqref="AP34">
    <cfRule type="cellIs" dxfId="501" priority="393" stopIfTrue="1" operator="between">
      <formula>0.8</formula>
      <formula>1.2</formula>
    </cfRule>
  </conditionalFormatting>
  <conditionalFormatting sqref="AP34">
    <cfRule type="cellIs" dxfId="500" priority="392" stopIfTrue="1" operator="lessThan">
      <formula>0.8</formula>
    </cfRule>
  </conditionalFormatting>
  <conditionalFormatting sqref="AP34">
    <cfRule type="cellIs" dxfId="499" priority="391" stopIfTrue="1" operator="greaterThan">
      <formula>1.2</formula>
    </cfRule>
  </conditionalFormatting>
  <conditionalFormatting sqref="AP35">
    <cfRule type="cellIs" dxfId="498" priority="390" stopIfTrue="1" operator="between">
      <formula>0.8</formula>
      <formula>1.2</formula>
    </cfRule>
  </conditionalFormatting>
  <conditionalFormatting sqref="AP35">
    <cfRule type="cellIs" dxfId="497" priority="389" stopIfTrue="1" operator="lessThan">
      <formula>0.8</formula>
    </cfRule>
  </conditionalFormatting>
  <conditionalFormatting sqref="AP35">
    <cfRule type="cellIs" dxfId="496" priority="388" stopIfTrue="1" operator="greaterThan">
      <formula>1.2</formula>
    </cfRule>
  </conditionalFormatting>
  <conditionalFormatting sqref="AP36">
    <cfRule type="cellIs" dxfId="495" priority="387" stopIfTrue="1" operator="between">
      <formula>0.8</formula>
      <formula>1.2</formula>
    </cfRule>
  </conditionalFormatting>
  <conditionalFormatting sqref="AP36">
    <cfRule type="cellIs" dxfId="494" priority="386" stopIfTrue="1" operator="lessThan">
      <formula>0.8</formula>
    </cfRule>
  </conditionalFormatting>
  <conditionalFormatting sqref="AP36">
    <cfRule type="cellIs" dxfId="493" priority="385" stopIfTrue="1" operator="greaterThan">
      <formula>1.2</formula>
    </cfRule>
  </conditionalFormatting>
  <conditionalFormatting sqref="AP37">
    <cfRule type="cellIs" dxfId="492" priority="384" stopIfTrue="1" operator="between">
      <formula>0.8</formula>
      <formula>1.2</formula>
    </cfRule>
  </conditionalFormatting>
  <conditionalFormatting sqref="AP37">
    <cfRule type="cellIs" dxfId="491" priority="383" stopIfTrue="1" operator="lessThan">
      <formula>0.8</formula>
    </cfRule>
  </conditionalFormatting>
  <conditionalFormatting sqref="AP37">
    <cfRule type="cellIs" dxfId="490" priority="382" stopIfTrue="1" operator="greaterThan">
      <formula>1.2</formula>
    </cfRule>
  </conditionalFormatting>
  <conditionalFormatting sqref="AP38">
    <cfRule type="cellIs" dxfId="489" priority="381" stopIfTrue="1" operator="between">
      <formula>0.8</formula>
      <formula>1.2</formula>
    </cfRule>
  </conditionalFormatting>
  <conditionalFormatting sqref="AP38">
    <cfRule type="cellIs" dxfId="488" priority="380" stopIfTrue="1" operator="lessThan">
      <formula>0.8</formula>
    </cfRule>
  </conditionalFormatting>
  <conditionalFormatting sqref="AP38">
    <cfRule type="cellIs" dxfId="487" priority="379" stopIfTrue="1" operator="greaterThan">
      <formula>1.2</formula>
    </cfRule>
  </conditionalFormatting>
  <conditionalFormatting sqref="AP39">
    <cfRule type="cellIs" dxfId="486" priority="378" stopIfTrue="1" operator="between">
      <formula>0.8</formula>
      <formula>1.2</formula>
    </cfRule>
  </conditionalFormatting>
  <conditionalFormatting sqref="AP39">
    <cfRule type="cellIs" dxfId="485" priority="377" stopIfTrue="1" operator="lessThan">
      <formula>0.8</formula>
    </cfRule>
  </conditionalFormatting>
  <conditionalFormatting sqref="AP39">
    <cfRule type="cellIs" dxfId="484" priority="376" stopIfTrue="1" operator="greaterThan">
      <formula>1.2</formula>
    </cfRule>
  </conditionalFormatting>
  <conditionalFormatting sqref="AP40">
    <cfRule type="cellIs" dxfId="483" priority="375" stopIfTrue="1" operator="between">
      <formula>0.8</formula>
      <formula>1.2</formula>
    </cfRule>
  </conditionalFormatting>
  <conditionalFormatting sqref="AP40">
    <cfRule type="cellIs" dxfId="482" priority="374" stopIfTrue="1" operator="lessThan">
      <formula>0.8</formula>
    </cfRule>
  </conditionalFormatting>
  <conditionalFormatting sqref="AP40">
    <cfRule type="cellIs" dxfId="481" priority="373" stopIfTrue="1" operator="greaterThan">
      <formula>1.2</formula>
    </cfRule>
  </conditionalFormatting>
  <conditionalFormatting sqref="AP41">
    <cfRule type="cellIs" dxfId="480" priority="372" stopIfTrue="1" operator="between">
      <formula>0.8</formula>
      <formula>1.2</formula>
    </cfRule>
  </conditionalFormatting>
  <conditionalFormatting sqref="AP41">
    <cfRule type="cellIs" dxfId="479" priority="371" stopIfTrue="1" operator="lessThan">
      <formula>0.8</formula>
    </cfRule>
  </conditionalFormatting>
  <conditionalFormatting sqref="AP41">
    <cfRule type="cellIs" dxfId="478" priority="370" stopIfTrue="1" operator="greaterThan">
      <formula>1.2</formula>
    </cfRule>
  </conditionalFormatting>
  <conditionalFormatting sqref="AP42">
    <cfRule type="cellIs" dxfId="477" priority="369" stopIfTrue="1" operator="between">
      <formula>0.8</formula>
      <formula>1.2</formula>
    </cfRule>
  </conditionalFormatting>
  <conditionalFormatting sqref="AP42">
    <cfRule type="cellIs" dxfId="476" priority="368" stopIfTrue="1" operator="lessThan">
      <formula>0.8</formula>
    </cfRule>
  </conditionalFormatting>
  <conditionalFormatting sqref="AP42">
    <cfRule type="cellIs" dxfId="475" priority="367" stopIfTrue="1" operator="greaterThan">
      <formula>1.2</formula>
    </cfRule>
  </conditionalFormatting>
  <conditionalFormatting sqref="AP43">
    <cfRule type="cellIs" dxfId="474" priority="366" stopIfTrue="1" operator="between">
      <formula>0.8</formula>
      <formula>1.2</formula>
    </cfRule>
  </conditionalFormatting>
  <conditionalFormatting sqref="AP43">
    <cfRule type="cellIs" dxfId="473" priority="365" stopIfTrue="1" operator="lessThan">
      <formula>0.8</formula>
    </cfRule>
  </conditionalFormatting>
  <conditionalFormatting sqref="AP43">
    <cfRule type="cellIs" dxfId="472" priority="364" stopIfTrue="1" operator="greaterThan">
      <formula>1.2</formula>
    </cfRule>
  </conditionalFormatting>
  <conditionalFormatting sqref="AP44">
    <cfRule type="cellIs" dxfId="471" priority="363" stopIfTrue="1" operator="between">
      <formula>0.8</formula>
      <formula>1.2</formula>
    </cfRule>
  </conditionalFormatting>
  <conditionalFormatting sqref="AP44">
    <cfRule type="cellIs" dxfId="470" priority="362" stopIfTrue="1" operator="lessThan">
      <formula>0.8</formula>
    </cfRule>
  </conditionalFormatting>
  <conditionalFormatting sqref="AP44">
    <cfRule type="cellIs" dxfId="469" priority="361" stopIfTrue="1" operator="greaterThan">
      <formula>1.2</formula>
    </cfRule>
  </conditionalFormatting>
  <conditionalFormatting sqref="AQ25">
    <cfRule type="cellIs" dxfId="468" priority="360" stopIfTrue="1" operator="between">
      <formula>0.8</formula>
      <formula>1.2</formula>
    </cfRule>
  </conditionalFormatting>
  <conditionalFormatting sqref="AQ25">
    <cfRule type="cellIs" dxfId="467" priority="359" stopIfTrue="1" operator="lessThan">
      <formula>0.8</formula>
    </cfRule>
  </conditionalFormatting>
  <conditionalFormatting sqref="AQ25">
    <cfRule type="cellIs" dxfId="466" priority="358" stopIfTrue="1" operator="greaterThan">
      <formula>1.2</formula>
    </cfRule>
  </conditionalFormatting>
  <conditionalFormatting sqref="AQ26">
    <cfRule type="cellIs" dxfId="465" priority="357" stopIfTrue="1" operator="between">
      <formula>0.8</formula>
      <formula>1.2</formula>
    </cfRule>
  </conditionalFormatting>
  <conditionalFormatting sqref="AQ26">
    <cfRule type="cellIs" dxfId="464" priority="356" stopIfTrue="1" operator="lessThan">
      <formula>0.8</formula>
    </cfRule>
  </conditionalFormatting>
  <conditionalFormatting sqref="AQ26">
    <cfRule type="cellIs" dxfId="463" priority="355" stopIfTrue="1" operator="greaterThan">
      <formula>1.2</formula>
    </cfRule>
  </conditionalFormatting>
  <conditionalFormatting sqref="AQ27">
    <cfRule type="cellIs" dxfId="462" priority="354" stopIfTrue="1" operator="between">
      <formula>0.8</formula>
      <formula>1.2</formula>
    </cfRule>
  </conditionalFormatting>
  <conditionalFormatting sqref="AQ27">
    <cfRule type="cellIs" dxfId="461" priority="353" stopIfTrue="1" operator="lessThan">
      <formula>0.8</formula>
    </cfRule>
  </conditionalFormatting>
  <conditionalFormatting sqref="AQ27">
    <cfRule type="cellIs" dxfId="460" priority="352" stopIfTrue="1" operator="greaterThan">
      <formula>1.2</formula>
    </cfRule>
  </conditionalFormatting>
  <conditionalFormatting sqref="AQ28">
    <cfRule type="cellIs" dxfId="459" priority="351" stopIfTrue="1" operator="between">
      <formula>0.8</formula>
      <formula>1.2</formula>
    </cfRule>
  </conditionalFormatting>
  <conditionalFormatting sqref="AQ28">
    <cfRule type="cellIs" dxfId="458" priority="350" stopIfTrue="1" operator="lessThan">
      <formula>0.8</formula>
    </cfRule>
  </conditionalFormatting>
  <conditionalFormatting sqref="AQ28">
    <cfRule type="cellIs" dxfId="457" priority="349" stopIfTrue="1" operator="greaterThan">
      <formula>1.2</formula>
    </cfRule>
  </conditionalFormatting>
  <conditionalFormatting sqref="AQ29">
    <cfRule type="cellIs" dxfId="456" priority="348" stopIfTrue="1" operator="between">
      <formula>0.8</formula>
      <formula>1.2</formula>
    </cfRule>
  </conditionalFormatting>
  <conditionalFormatting sqref="AQ29">
    <cfRule type="cellIs" dxfId="455" priority="347" stopIfTrue="1" operator="lessThan">
      <formula>0.8</formula>
    </cfRule>
  </conditionalFormatting>
  <conditionalFormatting sqref="AQ29">
    <cfRule type="cellIs" dxfId="454" priority="346" stopIfTrue="1" operator="greaterThan">
      <formula>1.2</formula>
    </cfRule>
  </conditionalFormatting>
  <conditionalFormatting sqref="AQ30">
    <cfRule type="cellIs" dxfId="453" priority="345" stopIfTrue="1" operator="between">
      <formula>0.8</formula>
      <formula>1.2</formula>
    </cfRule>
  </conditionalFormatting>
  <conditionalFormatting sqref="AQ30">
    <cfRule type="cellIs" dxfId="452" priority="344" stopIfTrue="1" operator="lessThan">
      <formula>0.8</formula>
    </cfRule>
  </conditionalFormatting>
  <conditionalFormatting sqref="AQ30">
    <cfRule type="cellIs" dxfId="451" priority="343" stopIfTrue="1" operator="greaterThan">
      <formula>1.2</formula>
    </cfRule>
  </conditionalFormatting>
  <conditionalFormatting sqref="AQ31">
    <cfRule type="cellIs" dxfId="450" priority="342" stopIfTrue="1" operator="between">
      <formula>0.8</formula>
      <formula>1.2</formula>
    </cfRule>
  </conditionalFormatting>
  <conditionalFormatting sqref="AQ31">
    <cfRule type="cellIs" dxfId="449" priority="341" stopIfTrue="1" operator="lessThan">
      <formula>0.8</formula>
    </cfRule>
  </conditionalFormatting>
  <conditionalFormatting sqref="AQ31">
    <cfRule type="cellIs" dxfId="448" priority="340" stopIfTrue="1" operator="greaterThan">
      <formula>1.2</formula>
    </cfRule>
  </conditionalFormatting>
  <conditionalFormatting sqref="AQ32">
    <cfRule type="cellIs" dxfId="447" priority="339" stopIfTrue="1" operator="between">
      <formula>0.8</formula>
      <formula>1.2</formula>
    </cfRule>
  </conditionalFormatting>
  <conditionalFormatting sqref="AQ32">
    <cfRule type="cellIs" dxfId="446" priority="338" stopIfTrue="1" operator="lessThan">
      <formula>0.8</formula>
    </cfRule>
  </conditionalFormatting>
  <conditionalFormatting sqref="AQ32">
    <cfRule type="cellIs" dxfId="445" priority="337" stopIfTrue="1" operator="greaterThan">
      <formula>1.2</formula>
    </cfRule>
  </conditionalFormatting>
  <conditionalFormatting sqref="AQ33">
    <cfRule type="cellIs" dxfId="444" priority="336" stopIfTrue="1" operator="between">
      <formula>0.8</formula>
      <formula>1.2</formula>
    </cfRule>
  </conditionalFormatting>
  <conditionalFormatting sqref="AQ33">
    <cfRule type="cellIs" dxfId="443" priority="335" stopIfTrue="1" operator="lessThan">
      <formula>0.8</formula>
    </cfRule>
  </conditionalFormatting>
  <conditionalFormatting sqref="AQ33">
    <cfRule type="cellIs" dxfId="442" priority="334" stopIfTrue="1" operator="greaterThan">
      <formula>1.2</formula>
    </cfRule>
  </conditionalFormatting>
  <conditionalFormatting sqref="AQ34">
    <cfRule type="cellIs" dxfId="441" priority="333" stopIfTrue="1" operator="between">
      <formula>0.8</formula>
      <formula>1.2</formula>
    </cfRule>
  </conditionalFormatting>
  <conditionalFormatting sqref="AQ34">
    <cfRule type="cellIs" dxfId="440" priority="332" stopIfTrue="1" operator="lessThan">
      <formula>0.8</formula>
    </cfRule>
  </conditionalFormatting>
  <conditionalFormatting sqref="AQ34">
    <cfRule type="cellIs" dxfId="439" priority="331" stopIfTrue="1" operator="greaterThan">
      <formula>1.2</formula>
    </cfRule>
  </conditionalFormatting>
  <conditionalFormatting sqref="AQ35">
    <cfRule type="cellIs" dxfId="438" priority="330" stopIfTrue="1" operator="between">
      <formula>0.8</formula>
      <formula>1.2</formula>
    </cfRule>
  </conditionalFormatting>
  <conditionalFormatting sqref="AQ35">
    <cfRule type="cellIs" dxfId="437" priority="329" stopIfTrue="1" operator="lessThan">
      <formula>0.8</formula>
    </cfRule>
  </conditionalFormatting>
  <conditionalFormatting sqref="AQ35">
    <cfRule type="cellIs" dxfId="436" priority="328" stopIfTrue="1" operator="greaterThan">
      <formula>1.2</formula>
    </cfRule>
  </conditionalFormatting>
  <conditionalFormatting sqref="AQ36">
    <cfRule type="cellIs" dxfId="435" priority="327" stopIfTrue="1" operator="between">
      <formula>0.8</formula>
      <formula>1.2</formula>
    </cfRule>
  </conditionalFormatting>
  <conditionalFormatting sqref="AQ36">
    <cfRule type="cellIs" dxfId="434" priority="326" stopIfTrue="1" operator="lessThan">
      <formula>0.8</formula>
    </cfRule>
  </conditionalFormatting>
  <conditionalFormatting sqref="AQ36">
    <cfRule type="cellIs" dxfId="433" priority="325" stopIfTrue="1" operator="greaterThan">
      <formula>1.2</formula>
    </cfRule>
  </conditionalFormatting>
  <conditionalFormatting sqref="AQ37">
    <cfRule type="cellIs" dxfId="432" priority="324" stopIfTrue="1" operator="between">
      <formula>0.8</formula>
      <formula>1.2</formula>
    </cfRule>
  </conditionalFormatting>
  <conditionalFormatting sqref="AQ37">
    <cfRule type="cellIs" dxfId="431" priority="323" stopIfTrue="1" operator="lessThan">
      <formula>0.8</formula>
    </cfRule>
  </conditionalFormatting>
  <conditionalFormatting sqref="AQ37">
    <cfRule type="cellIs" dxfId="430" priority="322" stopIfTrue="1" operator="greaterThan">
      <formula>1.2</formula>
    </cfRule>
  </conditionalFormatting>
  <conditionalFormatting sqref="AQ38">
    <cfRule type="cellIs" dxfId="429" priority="321" stopIfTrue="1" operator="between">
      <formula>0.8</formula>
      <formula>1.2</formula>
    </cfRule>
  </conditionalFormatting>
  <conditionalFormatting sqref="AQ38">
    <cfRule type="cellIs" dxfId="428" priority="320" stopIfTrue="1" operator="lessThan">
      <formula>0.8</formula>
    </cfRule>
  </conditionalFormatting>
  <conditionalFormatting sqref="AQ38">
    <cfRule type="cellIs" dxfId="427" priority="319" stopIfTrue="1" operator="greaterThan">
      <formula>1.2</formula>
    </cfRule>
  </conditionalFormatting>
  <conditionalFormatting sqref="AQ39">
    <cfRule type="cellIs" dxfId="426" priority="318" stopIfTrue="1" operator="between">
      <formula>0.8</formula>
      <formula>1.2</formula>
    </cfRule>
  </conditionalFormatting>
  <conditionalFormatting sqref="AQ39">
    <cfRule type="cellIs" dxfId="425" priority="317" stopIfTrue="1" operator="lessThan">
      <formula>0.8</formula>
    </cfRule>
  </conditionalFormatting>
  <conditionalFormatting sqref="AQ39">
    <cfRule type="cellIs" dxfId="424" priority="316" stopIfTrue="1" operator="greaterThan">
      <formula>1.2</formula>
    </cfRule>
  </conditionalFormatting>
  <conditionalFormatting sqref="AQ40">
    <cfRule type="cellIs" dxfId="423" priority="315" stopIfTrue="1" operator="between">
      <formula>0.8</formula>
      <formula>1.2</formula>
    </cfRule>
  </conditionalFormatting>
  <conditionalFormatting sqref="AQ40">
    <cfRule type="cellIs" dxfId="422" priority="314" stopIfTrue="1" operator="lessThan">
      <formula>0.8</formula>
    </cfRule>
  </conditionalFormatting>
  <conditionalFormatting sqref="AQ40">
    <cfRule type="cellIs" dxfId="421" priority="313" stopIfTrue="1" operator="greaterThan">
      <formula>1.2</formula>
    </cfRule>
  </conditionalFormatting>
  <conditionalFormatting sqref="AQ41">
    <cfRule type="cellIs" dxfId="420" priority="312" stopIfTrue="1" operator="between">
      <formula>0.8</formula>
      <formula>1.2</formula>
    </cfRule>
  </conditionalFormatting>
  <conditionalFormatting sqref="AQ41">
    <cfRule type="cellIs" dxfId="419" priority="311" stopIfTrue="1" operator="lessThan">
      <formula>0.8</formula>
    </cfRule>
  </conditionalFormatting>
  <conditionalFormatting sqref="AQ41">
    <cfRule type="cellIs" dxfId="418" priority="310" stopIfTrue="1" operator="greaterThan">
      <formula>1.2</formula>
    </cfRule>
  </conditionalFormatting>
  <conditionalFormatting sqref="AQ42">
    <cfRule type="cellIs" dxfId="417" priority="309" stopIfTrue="1" operator="between">
      <formula>0.8</formula>
      <formula>1.2</formula>
    </cfRule>
  </conditionalFormatting>
  <conditionalFormatting sqref="AQ42">
    <cfRule type="cellIs" dxfId="416" priority="308" stopIfTrue="1" operator="lessThan">
      <formula>0.8</formula>
    </cfRule>
  </conditionalFormatting>
  <conditionalFormatting sqref="AQ42">
    <cfRule type="cellIs" dxfId="415" priority="307" stopIfTrue="1" operator="greaterThan">
      <formula>1.2</formula>
    </cfRule>
  </conditionalFormatting>
  <conditionalFormatting sqref="AQ43">
    <cfRule type="cellIs" dxfId="414" priority="306" stopIfTrue="1" operator="between">
      <formula>0.8</formula>
      <formula>1.2</formula>
    </cfRule>
  </conditionalFormatting>
  <conditionalFormatting sqref="AQ43">
    <cfRule type="cellIs" dxfId="413" priority="305" stopIfTrue="1" operator="lessThan">
      <formula>0.8</formula>
    </cfRule>
  </conditionalFormatting>
  <conditionalFormatting sqref="AQ43">
    <cfRule type="cellIs" dxfId="412" priority="304" stopIfTrue="1" operator="greaterThan">
      <formula>1.2</formula>
    </cfRule>
  </conditionalFormatting>
  <conditionalFormatting sqref="AQ44">
    <cfRule type="cellIs" dxfId="411" priority="303" stopIfTrue="1" operator="between">
      <formula>0.8</formula>
      <formula>1.2</formula>
    </cfRule>
  </conditionalFormatting>
  <conditionalFormatting sqref="AQ44">
    <cfRule type="cellIs" dxfId="410" priority="302" stopIfTrue="1" operator="lessThan">
      <formula>0.8</formula>
    </cfRule>
  </conditionalFormatting>
  <conditionalFormatting sqref="AQ44">
    <cfRule type="cellIs" dxfId="409" priority="301" stopIfTrue="1" operator="greaterThan">
      <formula>1.2</formula>
    </cfRule>
  </conditionalFormatting>
  <conditionalFormatting sqref="AR25">
    <cfRule type="cellIs" dxfId="408" priority="300" stopIfTrue="1" operator="between">
      <formula>0.8</formula>
      <formula>1.2</formula>
    </cfRule>
  </conditionalFormatting>
  <conditionalFormatting sqref="AR25">
    <cfRule type="cellIs" dxfId="407" priority="299" stopIfTrue="1" operator="lessThan">
      <formula>0.8</formula>
    </cfRule>
  </conditionalFormatting>
  <conditionalFormatting sqref="AR25">
    <cfRule type="cellIs" dxfId="406" priority="298" stopIfTrue="1" operator="greaterThan">
      <formula>1.2</formula>
    </cfRule>
  </conditionalFormatting>
  <conditionalFormatting sqref="AR26">
    <cfRule type="cellIs" dxfId="405" priority="297" stopIfTrue="1" operator="between">
      <formula>0.8</formula>
      <formula>1.2</formula>
    </cfRule>
  </conditionalFormatting>
  <conditionalFormatting sqref="AR26">
    <cfRule type="cellIs" dxfId="404" priority="296" stopIfTrue="1" operator="lessThan">
      <formula>0.8</formula>
    </cfRule>
  </conditionalFormatting>
  <conditionalFormatting sqref="AR26">
    <cfRule type="cellIs" dxfId="403" priority="295" stopIfTrue="1" operator="greaterThan">
      <formula>1.2</formula>
    </cfRule>
  </conditionalFormatting>
  <conditionalFormatting sqref="AR27">
    <cfRule type="cellIs" dxfId="402" priority="294" stopIfTrue="1" operator="between">
      <formula>0.8</formula>
      <formula>1.2</formula>
    </cfRule>
  </conditionalFormatting>
  <conditionalFormatting sqref="AR27">
    <cfRule type="cellIs" dxfId="401" priority="293" stopIfTrue="1" operator="lessThan">
      <formula>0.8</formula>
    </cfRule>
  </conditionalFormatting>
  <conditionalFormatting sqref="AR27">
    <cfRule type="cellIs" dxfId="400" priority="292" stopIfTrue="1" operator="greaterThan">
      <formula>1.2</formula>
    </cfRule>
  </conditionalFormatting>
  <conditionalFormatting sqref="AR28">
    <cfRule type="cellIs" dxfId="399" priority="291" stopIfTrue="1" operator="between">
      <formula>0.8</formula>
      <formula>1.2</formula>
    </cfRule>
  </conditionalFormatting>
  <conditionalFormatting sqref="AR28">
    <cfRule type="cellIs" dxfId="398" priority="290" stopIfTrue="1" operator="lessThan">
      <formula>0.8</formula>
    </cfRule>
  </conditionalFormatting>
  <conditionalFormatting sqref="AR28">
    <cfRule type="cellIs" dxfId="397" priority="289" stopIfTrue="1" operator="greaterThan">
      <formula>1.2</formula>
    </cfRule>
  </conditionalFormatting>
  <conditionalFormatting sqref="AR29">
    <cfRule type="cellIs" dxfId="396" priority="288" stopIfTrue="1" operator="between">
      <formula>0.8</formula>
      <formula>1.2</formula>
    </cfRule>
  </conditionalFormatting>
  <conditionalFormatting sqref="AR29">
    <cfRule type="cellIs" dxfId="395" priority="287" stopIfTrue="1" operator="lessThan">
      <formula>0.8</formula>
    </cfRule>
  </conditionalFormatting>
  <conditionalFormatting sqref="AR29">
    <cfRule type="cellIs" dxfId="394" priority="286" stopIfTrue="1" operator="greaterThan">
      <formula>1.2</formula>
    </cfRule>
  </conditionalFormatting>
  <conditionalFormatting sqref="AR30">
    <cfRule type="cellIs" dxfId="393" priority="285" stopIfTrue="1" operator="between">
      <formula>0.8</formula>
      <formula>1.2</formula>
    </cfRule>
  </conditionalFormatting>
  <conditionalFormatting sqref="AR30">
    <cfRule type="cellIs" dxfId="392" priority="284" stopIfTrue="1" operator="lessThan">
      <formula>0.8</formula>
    </cfRule>
  </conditionalFormatting>
  <conditionalFormatting sqref="AR30">
    <cfRule type="cellIs" dxfId="391" priority="283" stopIfTrue="1" operator="greaterThan">
      <formula>1.2</formula>
    </cfRule>
  </conditionalFormatting>
  <conditionalFormatting sqref="AR31">
    <cfRule type="cellIs" dxfId="390" priority="282" stopIfTrue="1" operator="between">
      <formula>0.8</formula>
      <formula>1.2</formula>
    </cfRule>
  </conditionalFormatting>
  <conditionalFormatting sqref="AR31">
    <cfRule type="cellIs" dxfId="389" priority="281" stopIfTrue="1" operator="lessThan">
      <formula>0.8</formula>
    </cfRule>
  </conditionalFormatting>
  <conditionalFormatting sqref="AR31">
    <cfRule type="cellIs" dxfId="388" priority="280" stopIfTrue="1" operator="greaterThan">
      <formula>1.2</formula>
    </cfRule>
  </conditionalFormatting>
  <conditionalFormatting sqref="AR32">
    <cfRule type="cellIs" dxfId="387" priority="279" stopIfTrue="1" operator="between">
      <formula>0.8</formula>
      <formula>1.2</formula>
    </cfRule>
  </conditionalFormatting>
  <conditionalFormatting sqref="AR32">
    <cfRule type="cellIs" dxfId="386" priority="278" stopIfTrue="1" operator="lessThan">
      <formula>0.8</formula>
    </cfRule>
  </conditionalFormatting>
  <conditionalFormatting sqref="AR32">
    <cfRule type="cellIs" dxfId="385" priority="277" stopIfTrue="1" operator="greaterThan">
      <formula>1.2</formula>
    </cfRule>
  </conditionalFormatting>
  <conditionalFormatting sqref="AR33">
    <cfRule type="cellIs" dxfId="384" priority="276" stopIfTrue="1" operator="between">
      <formula>0.8</formula>
      <formula>1.2</formula>
    </cfRule>
  </conditionalFormatting>
  <conditionalFormatting sqref="AR33">
    <cfRule type="cellIs" dxfId="383" priority="275" stopIfTrue="1" operator="lessThan">
      <formula>0.8</formula>
    </cfRule>
  </conditionalFormatting>
  <conditionalFormatting sqref="AR33">
    <cfRule type="cellIs" dxfId="382" priority="274" stopIfTrue="1" operator="greaterThan">
      <formula>1.2</formula>
    </cfRule>
  </conditionalFormatting>
  <conditionalFormatting sqref="AR34">
    <cfRule type="cellIs" dxfId="381" priority="273" stopIfTrue="1" operator="between">
      <formula>0.8</formula>
      <formula>1.2</formula>
    </cfRule>
  </conditionalFormatting>
  <conditionalFormatting sqref="AR34">
    <cfRule type="cellIs" dxfId="380" priority="272" stopIfTrue="1" operator="lessThan">
      <formula>0.8</formula>
    </cfRule>
  </conditionalFormatting>
  <conditionalFormatting sqref="AR34">
    <cfRule type="cellIs" dxfId="379" priority="271" stopIfTrue="1" operator="greaterThan">
      <formula>1.2</formula>
    </cfRule>
  </conditionalFormatting>
  <conditionalFormatting sqref="AR35">
    <cfRule type="cellIs" dxfId="378" priority="270" stopIfTrue="1" operator="between">
      <formula>0.8</formula>
      <formula>1.2</formula>
    </cfRule>
  </conditionalFormatting>
  <conditionalFormatting sqref="AR35">
    <cfRule type="cellIs" dxfId="377" priority="269" stopIfTrue="1" operator="lessThan">
      <formula>0.8</formula>
    </cfRule>
  </conditionalFormatting>
  <conditionalFormatting sqref="AR35">
    <cfRule type="cellIs" dxfId="376" priority="268" stopIfTrue="1" operator="greaterThan">
      <formula>1.2</formula>
    </cfRule>
  </conditionalFormatting>
  <conditionalFormatting sqref="AR36">
    <cfRule type="cellIs" dxfId="375" priority="267" stopIfTrue="1" operator="between">
      <formula>0.8</formula>
      <formula>1.2</formula>
    </cfRule>
  </conditionalFormatting>
  <conditionalFormatting sqref="AR36">
    <cfRule type="cellIs" dxfId="374" priority="266" stopIfTrue="1" operator="lessThan">
      <formula>0.8</formula>
    </cfRule>
  </conditionalFormatting>
  <conditionalFormatting sqref="AR36">
    <cfRule type="cellIs" dxfId="373" priority="265" stopIfTrue="1" operator="greaterThan">
      <formula>1.2</formula>
    </cfRule>
  </conditionalFormatting>
  <conditionalFormatting sqref="AR37">
    <cfRule type="cellIs" dxfId="372" priority="264" stopIfTrue="1" operator="between">
      <formula>0.8</formula>
      <formula>1.2</formula>
    </cfRule>
  </conditionalFormatting>
  <conditionalFormatting sqref="AR37">
    <cfRule type="cellIs" dxfId="371" priority="263" stopIfTrue="1" operator="lessThan">
      <formula>0.8</formula>
    </cfRule>
  </conditionalFormatting>
  <conditionalFormatting sqref="AR37">
    <cfRule type="cellIs" dxfId="370" priority="262" stopIfTrue="1" operator="greaterThan">
      <formula>1.2</formula>
    </cfRule>
  </conditionalFormatting>
  <conditionalFormatting sqref="AR38">
    <cfRule type="cellIs" dxfId="369" priority="261" stopIfTrue="1" operator="between">
      <formula>0.8</formula>
      <formula>1.2</formula>
    </cfRule>
  </conditionalFormatting>
  <conditionalFormatting sqref="AR38">
    <cfRule type="cellIs" dxfId="368" priority="260" stopIfTrue="1" operator="lessThan">
      <formula>0.8</formula>
    </cfRule>
  </conditionalFormatting>
  <conditionalFormatting sqref="AR38">
    <cfRule type="cellIs" dxfId="367" priority="259" stopIfTrue="1" operator="greaterThan">
      <formula>1.2</formula>
    </cfRule>
  </conditionalFormatting>
  <conditionalFormatting sqref="AR39">
    <cfRule type="cellIs" dxfId="366" priority="258" stopIfTrue="1" operator="between">
      <formula>0.8</formula>
      <formula>1.2</formula>
    </cfRule>
  </conditionalFormatting>
  <conditionalFormatting sqref="AR39">
    <cfRule type="cellIs" dxfId="365" priority="257" stopIfTrue="1" operator="lessThan">
      <formula>0.8</formula>
    </cfRule>
  </conditionalFormatting>
  <conditionalFormatting sqref="AR39">
    <cfRule type="cellIs" dxfId="364" priority="256" stopIfTrue="1" operator="greaterThan">
      <formula>1.2</formula>
    </cfRule>
  </conditionalFormatting>
  <conditionalFormatting sqref="AR40">
    <cfRule type="cellIs" dxfId="363" priority="255" stopIfTrue="1" operator="between">
      <formula>0.8</formula>
      <formula>1.2</formula>
    </cfRule>
  </conditionalFormatting>
  <conditionalFormatting sqref="AR40">
    <cfRule type="cellIs" dxfId="362" priority="254" stopIfTrue="1" operator="lessThan">
      <formula>0.8</formula>
    </cfRule>
  </conditionalFormatting>
  <conditionalFormatting sqref="AR40">
    <cfRule type="cellIs" dxfId="361" priority="253" stopIfTrue="1" operator="greaterThan">
      <formula>1.2</formula>
    </cfRule>
  </conditionalFormatting>
  <conditionalFormatting sqref="AR41">
    <cfRule type="cellIs" dxfId="360" priority="252" stopIfTrue="1" operator="between">
      <formula>0.8</formula>
      <formula>1.2</formula>
    </cfRule>
  </conditionalFormatting>
  <conditionalFormatting sqref="AR41">
    <cfRule type="cellIs" dxfId="359" priority="251" stopIfTrue="1" operator="lessThan">
      <formula>0.8</formula>
    </cfRule>
  </conditionalFormatting>
  <conditionalFormatting sqref="AR41">
    <cfRule type="cellIs" dxfId="358" priority="250" stopIfTrue="1" operator="greaterThan">
      <formula>1.2</formula>
    </cfRule>
  </conditionalFormatting>
  <conditionalFormatting sqref="AR42">
    <cfRule type="cellIs" dxfId="357" priority="249" stopIfTrue="1" operator="between">
      <formula>0.8</formula>
      <formula>1.2</formula>
    </cfRule>
  </conditionalFormatting>
  <conditionalFormatting sqref="AR42">
    <cfRule type="cellIs" dxfId="356" priority="248" stopIfTrue="1" operator="lessThan">
      <formula>0.8</formula>
    </cfRule>
  </conditionalFormatting>
  <conditionalFormatting sqref="AR42">
    <cfRule type="cellIs" dxfId="355" priority="247" stopIfTrue="1" operator="greaterThan">
      <formula>1.2</formula>
    </cfRule>
  </conditionalFormatting>
  <conditionalFormatting sqref="AR43">
    <cfRule type="cellIs" dxfId="354" priority="246" stopIfTrue="1" operator="between">
      <formula>0.8</formula>
      <formula>1.2</formula>
    </cfRule>
  </conditionalFormatting>
  <conditionalFormatting sqref="AR43">
    <cfRule type="cellIs" dxfId="353" priority="245" stopIfTrue="1" operator="lessThan">
      <formula>0.8</formula>
    </cfRule>
  </conditionalFormatting>
  <conditionalFormatting sqref="AR43">
    <cfRule type="cellIs" dxfId="352" priority="244" stopIfTrue="1" operator="greaterThan">
      <formula>1.2</formula>
    </cfRule>
  </conditionalFormatting>
  <conditionalFormatting sqref="AR44">
    <cfRule type="cellIs" dxfId="351" priority="243" stopIfTrue="1" operator="between">
      <formula>0.8</formula>
      <formula>1.2</formula>
    </cfRule>
  </conditionalFormatting>
  <conditionalFormatting sqref="AR44">
    <cfRule type="cellIs" dxfId="350" priority="242" stopIfTrue="1" operator="lessThan">
      <formula>0.8</formula>
    </cfRule>
  </conditionalFormatting>
  <conditionalFormatting sqref="AR44">
    <cfRule type="cellIs" dxfId="349" priority="241" stopIfTrue="1" operator="greaterThan">
      <formula>1.2</formula>
    </cfRule>
  </conditionalFormatting>
  <conditionalFormatting sqref="AS25">
    <cfRule type="cellIs" dxfId="348" priority="240" stopIfTrue="1" operator="between">
      <formula>0.8</formula>
      <formula>1.2</formula>
    </cfRule>
  </conditionalFormatting>
  <conditionalFormatting sqref="AS25">
    <cfRule type="cellIs" dxfId="347" priority="239" stopIfTrue="1" operator="lessThan">
      <formula>0.8</formula>
    </cfRule>
  </conditionalFormatting>
  <conditionalFormatting sqref="AS25">
    <cfRule type="cellIs" dxfId="346" priority="238" stopIfTrue="1" operator="greaterThan">
      <formula>1.2</formula>
    </cfRule>
  </conditionalFormatting>
  <conditionalFormatting sqref="AS26">
    <cfRule type="cellIs" dxfId="345" priority="237" stopIfTrue="1" operator="between">
      <formula>0.8</formula>
      <formula>1.2</formula>
    </cfRule>
  </conditionalFormatting>
  <conditionalFormatting sqref="AS26">
    <cfRule type="cellIs" dxfId="344" priority="236" stopIfTrue="1" operator="lessThan">
      <formula>0.8</formula>
    </cfRule>
  </conditionalFormatting>
  <conditionalFormatting sqref="AS26">
    <cfRule type="cellIs" dxfId="343" priority="235" stopIfTrue="1" operator="greaterThan">
      <formula>1.2</formula>
    </cfRule>
  </conditionalFormatting>
  <conditionalFormatting sqref="AS27">
    <cfRule type="cellIs" dxfId="342" priority="234" stopIfTrue="1" operator="between">
      <formula>0.8</formula>
      <formula>1.2</formula>
    </cfRule>
  </conditionalFormatting>
  <conditionalFormatting sqref="AS27">
    <cfRule type="cellIs" dxfId="341" priority="233" stopIfTrue="1" operator="lessThan">
      <formula>0.8</formula>
    </cfRule>
  </conditionalFormatting>
  <conditionalFormatting sqref="AS27">
    <cfRule type="cellIs" dxfId="340" priority="232" stopIfTrue="1" operator="greaterThan">
      <formula>1.2</formula>
    </cfRule>
  </conditionalFormatting>
  <conditionalFormatting sqref="AS28">
    <cfRule type="cellIs" dxfId="339" priority="231" stopIfTrue="1" operator="between">
      <formula>0.8</formula>
      <formula>1.2</formula>
    </cfRule>
  </conditionalFormatting>
  <conditionalFormatting sqref="AS28">
    <cfRule type="cellIs" dxfId="338" priority="230" stopIfTrue="1" operator="lessThan">
      <formula>0.8</formula>
    </cfRule>
  </conditionalFormatting>
  <conditionalFormatting sqref="AS28">
    <cfRule type="cellIs" dxfId="337" priority="229" stopIfTrue="1" operator="greaterThan">
      <formula>1.2</formula>
    </cfRule>
  </conditionalFormatting>
  <conditionalFormatting sqref="AS29">
    <cfRule type="cellIs" dxfId="336" priority="228" stopIfTrue="1" operator="between">
      <formula>0.8</formula>
      <formula>1.2</formula>
    </cfRule>
  </conditionalFormatting>
  <conditionalFormatting sqref="AS29">
    <cfRule type="cellIs" dxfId="335" priority="227" stopIfTrue="1" operator="lessThan">
      <formula>0.8</formula>
    </cfRule>
  </conditionalFormatting>
  <conditionalFormatting sqref="AS29">
    <cfRule type="cellIs" dxfId="334" priority="226" stopIfTrue="1" operator="greaterThan">
      <formula>1.2</formula>
    </cfRule>
  </conditionalFormatting>
  <conditionalFormatting sqref="AS30">
    <cfRule type="cellIs" dxfId="333" priority="225" stopIfTrue="1" operator="between">
      <formula>0.8</formula>
      <formula>1.2</formula>
    </cfRule>
  </conditionalFormatting>
  <conditionalFormatting sqref="AS30">
    <cfRule type="cellIs" dxfId="332" priority="224" stopIfTrue="1" operator="lessThan">
      <formula>0.8</formula>
    </cfRule>
  </conditionalFormatting>
  <conditionalFormatting sqref="AS30">
    <cfRule type="cellIs" dxfId="331" priority="223" stopIfTrue="1" operator="greaterThan">
      <formula>1.2</formula>
    </cfRule>
  </conditionalFormatting>
  <conditionalFormatting sqref="AS31">
    <cfRule type="cellIs" dxfId="330" priority="222" stopIfTrue="1" operator="between">
      <formula>0.8</formula>
      <formula>1.2</formula>
    </cfRule>
  </conditionalFormatting>
  <conditionalFormatting sqref="AS31">
    <cfRule type="cellIs" dxfId="329" priority="221" stopIfTrue="1" operator="lessThan">
      <formula>0.8</formula>
    </cfRule>
  </conditionalFormatting>
  <conditionalFormatting sqref="AS31">
    <cfRule type="cellIs" dxfId="328" priority="220" stopIfTrue="1" operator="greaterThan">
      <formula>1.2</formula>
    </cfRule>
  </conditionalFormatting>
  <conditionalFormatting sqref="AS32">
    <cfRule type="cellIs" dxfId="327" priority="219" stopIfTrue="1" operator="between">
      <formula>0.8</formula>
      <formula>1.2</formula>
    </cfRule>
  </conditionalFormatting>
  <conditionalFormatting sqref="AS32">
    <cfRule type="cellIs" dxfId="326" priority="218" stopIfTrue="1" operator="lessThan">
      <formula>0.8</formula>
    </cfRule>
  </conditionalFormatting>
  <conditionalFormatting sqref="AS32">
    <cfRule type="cellIs" dxfId="325" priority="217" stopIfTrue="1" operator="greaterThan">
      <formula>1.2</formula>
    </cfRule>
  </conditionalFormatting>
  <conditionalFormatting sqref="AS33">
    <cfRule type="cellIs" dxfId="324" priority="216" stopIfTrue="1" operator="between">
      <formula>0.8</formula>
      <formula>1.2</formula>
    </cfRule>
  </conditionalFormatting>
  <conditionalFormatting sqref="AS33">
    <cfRule type="cellIs" dxfId="323" priority="215" stopIfTrue="1" operator="lessThan">
      <formula>0.8</formula>
    </cfRule>
  </conditionalFormatting>
  <conditionalFormatting sqref="AS33">
    <cfRule type="cellIs" dxfId="322" priority="214" stopIfTrue="1" operator="greaterThan">
      <formula>1.2</formula>
    </cfRule>
  </conditionalFormatting>
  <conditionalFormatting sqref="AS34">
    <cfRule type="cellIs" dxfId="321" priority="213" stopIfTrue="1" operator="between">
      <formula>0.8</formula>
      <formula>1.2</formula>
    </cfRule>
  </conditionalFormatting>
  <conditionalFormatting sqref="AS34">
    <cfRule type="cellIs" dxfId="320" priority="212" stopIfTrue="1" operator="lessThan">
      <formula>0.8</formula>
    </cfRule>
  </conditionalFormatting>
  <conditionalFormatting sqref="AS34">
    <cfRule type="cellIs" dxfId="319" priority="211" stopIfTrue="1" operator="greaterThan">
      <formula>1.2</formula>
    </cfRule>
  </conditionalFormatting>
  <conditionalFormatting sqref="AS35">
    <cfRule type="cellIs" dxfId="318" priority="210" stopIfTrue="1" operator="between">
      <formula>0.8</formula>
      <formula>1.2</formula>
    </cfRule>
  </conditionalFormatting>
  <conditionalFormatting sqref="AS35">
    <cfRule type="cellIs" dxfId="317" priority="209" stopIfTrue="1" operator="lessThan">
      <formula>0.8</formula>
    </cfRule>
  </conditionalFormatting>
  <conditionalFormatting sqref="AS35">
    <cfRule type="cellIs" dxfId="316" priority="208" stopIfTrue="1" operator="greaterThan">
      <formula>1.2</formula>
    </cfRule>
  </conditionalFormatting>
  <conditionalFormatting sqref="AS36">
    <cfRule type="cellIs" dxfId="315" priority="207" stopIfTrue="1" operator="between">
      <formula>0.8</formula>
      <formula>1.2</formula>
    </cfRule>
  </conditionalFormatting>
  <conditionalFormatting sqref="AS36">
    <cfRule type="cellIs" dxfId="314" priority="206" stopIfTrue="1" operator="lessThan">
      <formula>0.8</formula>
    </cfRule>
  </conditionalFormatting>
  <conditionalFormatting sqref="AS36">
    <cfRule type="cellIs" dxfId="313" priority="205" stopIfTrue="1" operator="greaterThan">
      <formula>1.2</formula>
    </cfRule>
  </conditionalFormatting>
  <conditionalFormatting sqref="AS37">
    <cfRule type="cellIs" dxfId="312" priority="204" stopIfTrue="1" operator="between">
      <formula>0.8</formula>
      <formula>1.2</formula>
    </cfRule>
  </conditionalFormatting>
  <conditionalFormatting sqref="AS37">
    <cfRule type="cellIs" dxfId="311" priority="203" stopIfTrue="1" operator="lessThan">
      <formula>0.8</formula>
    </cfRule>
  </conditionalFormatting>
  <conditionalFormatting sqref="AS37">
    <cfRule type="cellIs" dxfId="310" priority="202" stopIfTrue="1" operator="greaterThan">
      <formula>1.2</formula>
    </cfRule>
  </conditionalFormatting>
  <conditionalFormatting sqref="AS38">
    <cfRule type="cellIs" dxfId="309" priority="201" stopIfTrue="1" operator="between">
      <formula>0.8</formula>
      <formula>1.2</formula>
    </cfRule>
  </conditionalFormatting>
  <conditionalFormatting sqref="AS38">
    <cfRule type="cellIs" dxfId="308" priority="200" stopIfTrue="1" operator="lessThan">
      <formula>0.8</formula>
    </cfRule>
  </conditionalFormatting>
  <conditionalFormatting sqref="AS38">
    <cfRule type="cellIs" dxfId="307" priority="199" stopIfTrue="1" operator="greaterThan">
      <formula>1.2</formula>
    </cfRule>
  </conditionalFormatting>
  <conditionalFormatting sqref="AS39">
    <cfRule type="cellIs" dxfId="306" priority="198" stopIfTrue="1" operator="between">
      <formula>0.8</formula>
      <formula>1.2</formula>
    </cfRule>
  </conditionalFormatting>
  <conditionalFormatting sqref="AS39">
    <cfRule type="cellIs" dxfId="305" priority="197" stopIfTrue="1" operator="lessThan">
      <formula>0.8</formula>
    </cfRule>
  </conditionalFormatting>
  <conditionalFormatting sqref="AS39">
    <cfRule type="cellIs" dxfId="304" priority="196" stopIfTrue="1" operator="greaterThan">
      <formula>1.2</formula>
    </cfRule>
  </conditionalFormatting>
  <conditionalFormatting sqref="AS40">
    <cfRule type="cellIs" dxfId="303" priority="195" stopIfTrue="1" operator="between">
      <formula>0.8</formula>
      <formula>1.2</formula>
    </cfRule>
  </conditionalFormatting>
  <conditionalFormatting sqref="AS40">
    <cfRule type="cellIs" dxfId="302" priority="194" stopIfTrue="1" operator="lessThan">
      <formula>0.8</formula>
    </cfRule>
  </conditionalFormatting>
  <conditionalFormatting sqref="AS40">
    <cfRule type="cellIs" dxfId="301" priority="193" stopIfTrue="1" operator="greaterThan">
      <formula>1.2</formula>
    </cfRule>
  </conditionalFormatting>
  <conditionalFormatting sqref="AS41">
    <cfRule type="cellIs" dxfId="300" priority="192" stopIfTrue="1" operator="between">
      <formula>0.8</formula>
      <formula>1.2</formula>
    </cfRule>
  </conditionalFormatting>
  <conditionalFormatting sqref="AS41">
    <cfRule type="cellIs" dxfId="299" priority="191" stopIfTrue="1" operator="lessThan">
      <formula>0.8</formula>
    </cfRule>
  </conditionalFormatting>
  <conditionalFormatting sqref="AS41">
    <cfRule type="cellIs" dxfId="298" priority="190" stopIfTrue="1" operator="greaterThan">
      <formula>1.2</formula>
    </cfRule>
  </conditionalFormatting>
  <conditionalFormatting sqref="AS42">
    <cfRule type="cellIs" dxfId="297" priority="189" stopIfTrue="1" operator="between">
      <formula>0.8</formula>
      <formula>1.2</formula>
    </cfRule>
  </conditionalFormatting>
  <conditionalFormatting sqref="AS42">
    <cfRule type="cellIs" dxfId="296" priority="188" stopIfTrue="1" operator="lessThan">
      <formula>0.8</formula>
    </cfRule>
  </conditionalFormatting>
  <conditionalFormatting sqref="AS42">
    <cfRule type="cellIs" dxfId="295" priority="187" stopIfTrue="1" operator="greaterThan">
      <formula>1.2</formula>
    </cfRule>
  </conditionalFormatting>
  <conditionalFormatting sqref="AS43">
    <cfRule type="cellIs" dxfId="294" priority="186" stopIfTrue="1" operator="between">
      <formula>0.8</formula>
      <formula>1.2</formula>
    </cfRule>
  </conditionalFormatting>
  <conditionalFormatting sqref="AS43">
    <cfRule type="cellIs" dxfId="293" priority="185" stopIfTrue="1" operator="lessThan">
      <formula>0.8</formula>
    </cfRule>
  </conditionalFormatting>
  <conditionalFormatting sqref="AS43">
    <cfRule type="cellIs" dxfId="292" priority="184" stopIfTrue="1" operator="greaterThan">
      <formula>1.2</formula>
    </cfRule>
  </conditionalFormatting>
  <conditionalFormatting sqref="AS44">
    <cfRule type="cellIs" dxfId="291" priority="183" stopIfTrue="1" operator="between">
      <formula>0.8</formula>
      <formula>1.2</formula>
    </cfRule>
  </conditionalFormatting>
  <conditionalFormatting sqref="AS44">
    <cfRule type="cellIs" dxfId="290" priority="182" stopIfTrue="1" operator="lessThan">
      <formula>0.8</formula>
    </cfRule>
  </conditionalFormatting>
  <conditionalFormatting sqref="AS44">
    <cfRule type="cellIs" dxfId="289" priority="181" stopIfTrue="1" operator="greaterThan">
      <formula>1.2</formula>
    </cfRule>
  </conditionalFormatting>
  <conditionalFormatting sqref="AT25">
    <cfRule type="cellIs" dxfId="288" priority="180" stopIfTrue="1" operator="between">
      <formula>0.8</formula>
      <formula>1.2</formula>
    </cfRule>
  </conditionalFormatting>
  <conditionalFormatting sqref="AT25">
    <cfRule type="cellIs" dxfId="287" priority="179" stopIfTrue="1" operator="lessThan">
      <formula>0.8</formula>
    </cfRule>
  </conditionalFormatting>
  <conditionalFormatting sqref="AT25">
    <cfRule type="cellIs" dxfId="286" priority="178" stopIfTrue="1" operator="greaterThan">
      <formula>1.2</formula>
    </cfRule>
  </conditionalFormatting>
  <conditionalFormatting sqref="AT26">
    <cfRule type="cellIs" dxfId="285" priority="177" stopIfTrue="1" operator="between">
      <formula>0.8</formula>
      <formula>1.2</formula>
    </cfRule>
  </conditionalFormatting>
  <conditionalFormatting sqref="AT26">
    <cfRule type="cellIs" dxfId="284" priority="176" stopIfTrue="1" operator="lessThan">
      <formula>0.8</formula>
    </cfRule>
  </conditionalFormatting>
  <conditionalFormatting sqref="AT26">
    <cfRule type="cellIs" dxfId="283" priority="175" stopIfTrue="1" operator="greaterThan">
      <formula>1.2</formula>
    </cfRule>
  </conditionalFormatting>
  <conditionalFormatting sqref="AT27">
    <cfRule type="cellIs" dxfId="282" priority="174" stopIfTrue="1" operator="between">
      <formula>0.8</formula>
      <formula>1.2</formula>
    </cfRule>
  </conditionalFormatting>
  <conditionalFormatting sqref="AT27">
    <cfRule type="cellIs" dxfId="281" priority="173" stopIfTrue="1" operator="lessThan">
      <formula>0.8</formula>
    </cfRule>
  </conditionalFormatting>
  <conditionalFormatting sqref="AT27">
    <cfRule type="cellIs" dxfId="280" priority="172" stopIfTrue="1" operator="greaterThan">
      <formula>1.2</formula>
    </cfRule>
  </conditionalFormatting>
  <conditionalFormatting sqref="AT28">
    <cfRule type="cellIs" dxfId="279" priority="171" stopIfTrue="1" operator="between">
      <formula>0.8</formula>
      <formula>1.2</formula>
    </cfRule>
  </conditionalFormatting>
  <conditionalFormatting sqref="AT28">
    <cfRule type="cellIs" dxfId="278" priority="170" stopIfTrue="1" operator="lessThan">
      <formula>0.8</formula>
    </cfRule>
  </conditionalFormatting>
  <conditionalFormatting sqref="AT28">
    <cfRule type="cellIs" dxfId="277" priority="169" stopIfTrue="1" operator="greaterThan">
      <formula>1.2</formula>
    </cfRule>
  </conditionalFormatting>
  <conditionalFormatting sqref="AT29">
    <cfRule type="cellIs" dxfId="276" priority="168" stopIfTrue="1" operator="between">
      <formula>0.8</formula>
      <formula>1.2</formula>
    </cfRule>
  </conditionalFormatting>
  <conditionalFormatting sqref="AT29">
    <cfRule type="cellIs" dxfId="275" priority="167" stopIfTrue="1" operator="lessThan">
      <formula>0.8</formula>
    </cfRule>
  </conditionalFormatting>
  <conditionalFormatting sqref="AT29">
    <cfRule type="cellIs" dxfId="274" priority="166" stopIfTrue="1" operator="greaterThan">
      <formula>1.2</formula>
    </cfRule>
  </conditionalFormatting>
  <conditionalFormatting sqref="AT30">
    <cfRule type="cellIs" dxfId="273" priority="165" stopIfTrue="1" operator="between">
      <formula>0.8</formula>
      <formula>1.2</formula>
    </cfRule>
  </conditionalFormatting>
  <conditionalFormatting sqref="AT30">
    <cfRule type="cellIs" dxfId="272" priority="164" stopIfTrue="1" operator="lessThan">
      <formula>0.8</formula>
    </cfRule>
  </conditionalFormatting>
  <conditionalFormatting sqref="AT30">
    <cfRule type="cellIs" dxfId="271" priority="163" stopIfTrue="1" operator="greaterThan">
      <formula>1.2</formula>
    </cfRule>
  </conditionalFormatting>
  <conditionalFormatting sqref="AT31">
    <cfRule type="cellIs" dxfId="270" priority="162" stopIfTrue="1" operator="between">
      <formula>0.8</formula>
      <formula>1.2</formula>
    </cfRule>
  </conditionalFormatting>
  <conditionalFormatting sqref="AT31">
    <cfRule type="cellIs" dxfId="269" priority="161" stopIfTrue="1" operator="lessThan">
      <formula>0.8</formula>
    </cfRule>
  </conditionalFormatting>
  <conditionalFormatting sqref="AT31">
    <cfRule type="cellIs" dxfId="268" priority="160" stopIfTrue="1" operator="greaterThan">
      <formula>1.2</formula>
    </cfRule>
  </conditionalFormatting>
  <conditionalFormatting sqref="AT32">
    <cfRule type="cellIs" dxfId="267" priority="159" stopIfTrue="1" operator="between">
      <formula>0.8</formula>
      <formula>1.2</formula>
    </cfRule>
  </conditionalFormatting>
  <conditionalFormatting sqref="AT32">
    <cfRule type="cellIs" dxfId="266" priority="158" stopIfTrue="1" operator="lessThan">
      <formula>0.8</formula>
    </cfRule>
  </conditionalFormatting>
  <conditionalFormatting sqref="AT32">
    <cfRule type="cellIs" dxfId="265" priority="157" stopIfTrue="1" operator="greaterThan">
      <formula>1.2</formula>
    </cfRule>
  </conditionalFormatting>
  <conditionalFormatting sqref="AT33">
    <cfRule type="cellIs" dxfId="264" priority="156" stopIfTrue="1" operator="between">
      <formula>0.8</formula>
      <formula>1.2</formula>
    </cfRule>
  </conditionalFormatting>
  <conditionalFormatting sqref="AT33">
    <cfRule type="cellIs" dxfId="263" priority="155" stopIfTrue="1" operator="lessThan">
      <formula>0.8</formula>
    </cfRule>
  </conditionalFormatting>
  <conditionalFormatting sqref="AT33">
    <cfRule type="cellIs" dxfId="262" priority="154" stopIfTrue="1" operator="greaterThan">
      <formula>1.2</formula>
    </cfRule>
  </conditionalFormatting>
  <conditionalFormatting sqref="AT34">
    <cfRule type="cellIs" dxfId="261" priority="153" stopIfTrue="1" operator="between">
      <formula>0.8</formula>
      <formula>1.2</formula>
    </cfRule>
  </conditionalFormatting>
  <conditionalFormatting sqref="AT34">
    <cfRule type="cellIs" dxfId="260" priority="152" stopIfTrue="1" operator="lessThan">
      <formula>0.8</formula>
    </cfRule>
  </conditionalFormatting>
  <conditionalFormatting sqref="AT34">
    <cfRule type="cellIs" dxfId="259" priority="151" stopIfTrue="1" operator="greaterThan">
      <formula>1.2</formula>
    </cfRule>
  </conditionalFormatting>
  <conditionalFormatting sqref="AT35">
    <cfRule type="cellIs" dxfId="258" priority="150" stopIfTrue="1" operator="between">
      <formula>0.8</formula>
      <formula>1.2</formula>
    </cfRule>
  </conditionalFormatting>
  <conditionalFormatting sqref="AT35">
    <cfRule type="cellIs" dxfId="257" priority="149" stopIfTrue="1" operator="lessThan">
      <formula>0.8</formula>
    </cfRule>
  </conditionalFormatting>
  <conditionalFormatting sqref="AT35">
    <cfRule type="cellIs" dxfId="256" priority="148" stopIfTrue="1" operator="greaterThan">
      <formula>1.2</formula>
    </cfRule>
  </conditionalFormatting>
  <conditionalFormatting sqref="AT36">
    <cfRule type="cellIs" dxfId="255" priority="147" stopIfTrue="1" operator="between">
      <formula>0.8</formula>
      <formula>1.2</formula>
    </cfRule>
  </conditionalFormatting>
  <conditionalFormatting sqref="AT36">
    <cfRule type="cellIs" dxfId="254" priority="146" stopIfTrue="1" operator="lessThan">
      <formula>0.8</formula>
    </cfRule>
  </conditionalFormatting>
  <conditionalFormatting sqref="AT36">
    <cfRule type="cellIs" dxfId="253" priority="145" stopIfTrue="1" operator="greaterThan">
      <formula>1.2</formula>
    </cfRule>
  </conditionalFormatting>
  <conditionalFormatting sqref="AT37">
    <cfRule type="cellIs" dxfId="252" priority="144" stopIfTrue="1" operator="between">
      <formula>0.8</formula>
      <formula>1.2</formula>
    </cfRule>
  </conditionalFormatting>
  <conditionalFormatting sqref="AT37">
    <cfRule type="cellIs" dxfId="251" priority="143" stopIfTrue="1" operator="lessThan">
      <formula>0.8</formula>
    </cfRule>
  </conditionalFormatting>
  <conditionalFormatting sqref="AT37">
    <cfRule type="cellIs" dxfId="250" priority="142" stopIfTrue="1" operator="greaterThan">
      <formula>1.2</formula>
    </cfRule>
  </conditionalFormatting>
  <conditionalFormatting sqref="AT38">
    <cfRule type="cellIs" dxfId="249" priority="141" stopIfTrue="1" operator="between">
      <formula>0.8</formula>
      <formula>1.2</formula>
    </cfRule>
  </conditionalFormatting>
  <conditionalFormatting sqref="AT38">
    <cfRule type="cellIs" dxfId="248" priority="140" stopIfTrue="1" operator="lessThan">
      <formula>0.8</formula>
    </cfRule>
  </conditionalFormatting>
  <conditionalFormatting sqref="AT38">
    <cfRule type="cellIs" dxfId="247" priority="139" stopIfTrue="1" operator="greaterThan">
      <formula>1.2</formula>
    </cfRule>
  </conditionalFormatting>
  <conditionalFormatting sqref="AT39">
    <cfRule type="cellIs" dxfId="246" priority="138" stopIfTrue="1" operator="between">
      <formula>0.8</formula>
      <formula>1.2</formula>
    </cfRule>
  </conditionalFormatting>
  <conditionalFormatting sqref="AT39">
    <cfRule type="cellIs" dxfId="245" priority="137" stopIfTrue="1" operator="lessThan">
      <formula>0.8</formula>
    </cfRule>
  </conditionalFormatting>
  <conditionalFormatting sqref="AT39">
    <cfRule type="cellIs" dxfId="244" priority="136" stopIfTrue="1" operator="greaterThan">
      <formula>1.2</formula>
    </cfRule>
  </conditionalFormatting>
  <conditionalFormatting sqref="AT40">
    <cfRule type="cellIs" dxfId="243" priority="135" stopIfTrue="1" operator="between">
      <formula>0.8</formula>
      <formula>1.2</formula>
    </cfRule>
  </conditionalFormatting>
  <conditionalFormatting sqref="AT40">
    <cfRule type="cellIs" dxfId="242" priority="134" stopIfTrue="1" operator="lessThan">
      <formula>0.8</formula>
    </cfRule>
  </conditionalFormatting>
  <conditionalFormatting sqref="AT40">
    <cfRule type="cellIs" dxfId="241" priority="133" stopIfTrue="1" operator="greaterThan">
      <formula>1.2</formula>
    </cfRule>
  </conditionalFormatting>
  <conditionalFormatting sqref="AT41">
    <cfRule type="cellIs" dxfId="240" priority="132" stopIfTrue="1" operator="between">
      <formula>0.8</formula>
      <formula>1.2</formula>
    </cfRule>
  </conditionalFormatting>
  <conditionalFormatting sqref="AT41">
    <cfRule type="cellIs" dxfId="239" priority="131" stopIfTrue="1" operator="lessThan">
      <formula>0.8</formula>
    </cfRule>
  </conditionalFormatting>
  <conditionalFormatting sqref="AT41">
    <cfRule type="cellIs" dxfId="238" priority="130" stopIfTrue="1" operator="greaterThan">
      <formula>1.2</formula>
    </cfRule>
  </conditionalFormatting>
  <conditionalFormatting sqref="AT42">
    <cfRule type="cellIs" dxfId="237" priority="129" stopIfTrue="1" operator="between">
      <formula>0.8</formula>
      <formula>1.2</formula>
    </cfRule>
  </conditionalFormatting>
  <conditionalFormatting sqref="AT42">
    <cfRule type="cellIs" dxfId="236" priority="128" stopIfTrue="1" operator="lessThan">
      <formula>0.8</formula>
    </cfRule>
  </conditionalFormatting>
  <conditionalFormatting sqref="AT42">
    <cfRule type="cellIs" dxfId="235" priority="127" stopIfTrue="1" operator="greaterThan">
      <formula>1.2</formula>
    </cfRule>
  </conditionalFormatting>
  <conditionalFormatting sqref="AT43">
    <cfRule type="cellIs" dxfId="234" priority="126" stopIfTrue="1" operator="between">
      <formula>0.8</formula>
      <formula>1.2</formula>
    </cfRule>
  </conditionalFormatting>
  <conditionalFormatting sqref="AT43">
    <cfRule type="cellIs" dxfId="233" priority="125" stopIfTrue="1" operator="lessThan">
      <formula>0.8</formula>
    </cfRule>
  </conditionalFormatting>
  <conditionalFormatting sqref="AT43">
    <cfRule type="cellIs" dxfId="232" priority="124" stopIfTrue="1" operator="greaterThan">
      <formula>1.2</formula>
    </cfRule>
  </conditionalFormatting>
  <conditionalFormatting sqref="AT44">
    <cfRule type="cellIs" dxfId="231" priority="123" stopIfTrue="1" operator="between">
      <formula>0.8</formula>
      <formula>1.2</formula>
    </cfRule>
  </conditionalFormatting>
  <conditionalFormatting sqref="AT44">
    <cfRule type="cellIs" dxfId="230" priority="122" stopIfTrue="1" operator="lessThan">
      <formula>0.8</formula>
    </cfRule>
  </conditionalFormatting>
  <conditionalFormatting sqref="AT44">
    <cfRule type="cellIs" dxfId="229" priority="121" stopIfTrue="1" operator="greaterThan">
      <formula>1.2</formula>
    </cfRule>
  </conditionalFormatting>
  <conditionalFormatting sqref="AU25">
    <cfRule type="cellIs" dxfId="228" priority="120" stopIfTrue="1" operator="between">
      <formula>0.8</formula>
      <formula>1.2</formula>
    </cfRule>
  </conditionalFormatting>
  <conditionalFormatting sqref="AU25">
    <cfRule type="cellIs" dxfId="227" priority="119" stopIfTrue="1" operator="lessThan">
      <formula>0.8</formula>
    </cfRule>
  </conditionalFormatting>
  <conditionalFormatting sqref="AU25">
    <cfRule type="cellIs" dxfId="226" priority="118" stopIfTrue="1" operator="greaterThan">
      <formula>1.2</formula>
    </cfRule>
  </conditionalFormatting>
  <conditionalFormatting sqref="AU26">
    <cfRule type="cellIs" dxfId="225" priority="117" stopIfTrue="1" operator="between">
      <formula>0.8</formula>
      <formula>1.2</formula>
    </cfRule>
  </conditionalFormatting>
  <conditionalFormatting sqref="AU26">
    <cfRule type="cellIs" dxfId="224" priority="116" stopIfTrue="1" operator="lessThan">
      <formula>0.8</formula>
    </cfRule>
  </conditionalFormatting>
  <conditionalFormatting sqref="AU26">
    <cfRule type="cellIs" dxfId="223" priority="115" stopIfTrue="1" operator="greaterThan">
      <formula>1.2</formula>
    </cfRule>
  </conditionalFormatting>
  <conditionalFormatting sqref="AU27">
    <cfRule type="cellIs" dxfId="222" priority="114" stopIfTrue="1" operator="between">
      <formula>0.8</formula>
      <formula>1.2</formula>
    </cfRule>
  </conditionalFormatting>
  <conditionalFormatting sqref="AU27">
    <cfRule type="cellIs" dxfId="221" priority="113" stopIfTrue="1" operator="lessThan">
      <formula>0.8</formula>
    </cfRule>
  </conditionalFormatting>
  <conditionalFormatting sqref="AU27">
    <cfRule type="cellIs" dxfId="220" priority="112" stopIfTrue="1" operator="greaterThan">
      <formula>1.2</formula>
    </cfRule>
  </conditionalFormatting>
  <conditionalFormatting sqref="AU28">
    <cfRule type="cellIs" dxfId="219" priority="111" stopIfTrue="1" operator="between">
      <formula>0.8</formula>
      <formula>1.2</formula>
    </cfRule>
  </conditionalFormatting>
  <conditionalFormatting sqref="AU28">
    <cfRule type="cellIs" dxfId="218" priority="110" stopIfTrue="1" operator="lessThan">
      <formula>0.8</formula>
    </cfRule>
  </conditionalFormatting>
  <conditionalFormatting sqref="AU28">
    <cfRule type="cellIs" dxfId="217" priority="109" stopIfTrue="1" operator="greaterThan">
      <formula>1.2</formula>
    </cfRule>
  </conditionalFormatting>
  <conditionalFormatting sqref="AU29">
    <cfRule type="cellIs" dxfId="216" priority="108" stopIfTrue="1" operator="between">
      <formula>0.8</formula>
      <formula>1.2</formula>
    </cfRule>
  </conditionalFormatting>
  <conditionalFormatting sqref="AU29">
    <cfRule type="cellIs" dxfId="215" priority="107" stopIfTrue="1" operator="lessThan">
      <formula>0.8</formula>
    </cfRule>
  </conditionalFormatting>
  <conditionalFormatting sqref="AU29">
    <cfRule type="cellIs" dxfId="214" priority="106" stopIfTrue="1" operator="greaterThan">
      <formula>1.2</formula>
    </cfRule>
  </conditionalFormatting>
  <conditionalFormatting sqref="AU30">
    <cfRule type="cellIs" dxfId="213" priority="105" stopIfTrue="1" operator="between">
      <formula>0.8</formula>
      <formula>1.2</formula>
    </cfRule>
  </conditionalFormatting>
  <conditionalFormatting sqref="AU30">
    <cfRule type="cellIs" dxfId="212" priority="104" stopIfTrue="1" operator="lessThan">
      <formula>0.8</formula>
    </cfRule>
  </conditionalFormatting>
  <conditionalFormatting sqref="AU30">
    <cfRule type="cellIs" dxfId="211" priority="103" stopIfTrue="1" operator="greaterThan">
      <formula>1.2</formula>
    </cfRule>
  </conditionalFormatting>
  <conditionalFormatting sqref="AU31">
    <cfRule type="cellIs" dxfId="210" priority="102" stopIfTrue="1" operator="between">
      <formula>0.8</formula>
      <formula>1.2</formula>
    </cfRule>
  </conditionalFormatting>
  <conditionalFormatting sqref="AU31">
    <cfRule type="cellIs" dxfId="209" priority="101" stopIfTrue="1" operator="lessThan">
      <formula>0.8</formula>
    </cfRule>
  </conditionalFormatting>
  <conditionalFormatting sqref="AU31">
    <cfRule type="cellIs" dxfId="208" priority="100" stopIfTrue="1" operator="greaterThan">
      <formula>1.2</formula>
    </cfRule>
  </conditionalFormatting>
  <conditionalFormatting sqref="AU32">
    <cfRule type="cellIs" dxfId="207" priority="99" stopIfTrue="1" operator="between">
      <formula>0.8</formula>
      <formula>1.2</formula>
    </cfRule>
  </conditionalFormatting>
  <conditionalFormatting sqref="AU32">
    <cfRule type="cellIs" dxfId="206" priority="98" stopIfTrue="1" operator="lessThan">
      <formula>0.8</formula>
    </cfRule>
  </conditionalFormatting>
  <conditionalFormatting sqref="AU32">
    <cfRule type="cellIs" dxfId="205" priority="97" stopIfTrue="1" operator="greaterThan">
      <formula>1.2</formula>
    </cfRule>
  </conditionalFormatting>
  <conditionalFormatting sqref="AU33">
    <cfRule type="cellIs" dxfId="204" priority="96" stopIfTrue="1" operator="between">
      <formula>0.8</formula>
      <formula>1.2</formula>
    </cfRule>
  </conditionalFormatting>
  <conditionalFormatting sqref="AU33">
    <cfRule type="cellIs" dxfId="203" priority="95" stopIfTrue="1" operator="lessThan">
      <formula>0.8</formula>
    </cfRule>
  </conditionalFormatting>
  <conditionalFormatting sqref="AU33">
    <cfRule type="cellIs" dxfId="202" priority="94" stopIfTrue="1" operator="greaterThan">
      <formula>1.2</formula>
    </cfRule>
  </conditionalFormatting>
  <conditionalFormatting sqref="AU34">
    <cfRule type="cellIs" dxfId="201" priority="93" stopIfTrue="1" operator="between">
      <formula>0.8</formula>
      <formula>1.2</formula>
    </cfRule>
  </conditionalFormatting>
  <conditionalFormatting sqref="AU34">
    <cfRule type="cellIs" dxfId="200" priority="92" stopIfTrue="1" operator="lessThan">
      <formula>0.8</formula>
    </cfRule>
  </conditionalFormatting>
  <conditionalFormatting sqref="AU34">
    <cfRule type="cellIs" dxfId="199" priority="91" stopIfTrue="1" operator="greaterThan">
      <formula>1.2</formula>
    </cfRule>
  </conditionalFormatting>
  <conditionalFormatting sqref="AU35">
    <cfRule type="cellIs" dxfId="198" priority="90" stopIfTrue="1" operator="between">
      <formula>0.8</formula>
      <formula>1.2</formula>
    </cfRule>
  </conditionalFormatting>
  <conditionalFormatting sqref="AU35">
    <cfRule type="cellIs" dxfId="197" priority="89" stopIfTrue="1" operator="lessThan">
      <formula>0.8</formula>
    </cfRule>
  </conditionalFormatting>
  <conditionalFormatting sqref="AU35">
    <cfRule type="cellIs" dxfId="196" priority="88" stopIfTrue="1" operator="greaterThan">
      <formula>1.2</formula>
    </cfRule>
  </conditionalFormatting>
  <conditionalFormatting sqref="AU36">
    <cfRule type="cellIs" dxfId="195" priority="87" stopIfTrue="1" operator="between">
      <formula>0.8</formula>
      <formula>1.2</formula>
    </cfRule>
  </conditionalFormatting>
  <conditionalFormatting sqref="AU36">
    <cfRule type="cellIs" dxfId="194" priority="86" stopIfTrue="1" operator="lessThan">
      <formula>0.8</formula>
    </cfRule>
  </conditionalFormatting>
  <conditionalFormatting sqref="AU36">
    <cfRule type="cellIs" dxfId="193" priority="85" stopIfTrue="1" operator="greaterThan">
      <formula>1.2</formula>
    </cfRule>
  </conditionalFormatting>
  <conditionalFormatting sqref="AU37">
    <cfRule type="cellIs" dxfId="192" priority="84" stopIfTrue="1" operator="between">
      <formula>0.8</formula>
      <formula>1.2</formula>
    </cfRule>
  </conditionalFormatting>
  <conditionalFormatting sqref="AU37">
    <cfRule type="cellIs" dxfId="191" priority="83" stopIfTrue="1" operator="lessThan">
      <formula>0.8</formula>
    </cfRule>
  </conditionalFormatting>
  <conditionalFormatting sqref="AU37">
    <cfRule type="cellIs" dxfId="190" priority="82" stopIfTrue="1" operator="greaterThan">
      <formula>1.2</formula>
    </cfRule>
  </conditionalFormatting>
  <conditionalFormatting sqref="AU38">
    <cfRule type="cellIs" dxfId="189" priority="81" stopIfTrue="1" operator="between">
      <formula>0.8</formula>
      <formula>1.2</formula>
    </cfRule>
  </conditionalFormatting>
  <conditionalFormatting sqref="AU38">
    <cfRule type="cellIs" dxfId="188" priority="80" stopIfTrue="1" operator="lessThan">
      <formula>0.8</formula>
    </cfRule>
  </conditionalFormatting>
  <conditionalFormatting sqref="AU38">
    <cfRule type="cellIs" dxfId="187" priority="79" stopIfTrue="1" operator="greaterThan">
      <formula>1.2</formula>
    </cfRule>
  </conditionalFormatting>
  <conditionalFormatting sqref="AU39">
    <cfRule type="cellIs" dxfId="186" priority="78" stopIfTrue="1" operator="between">
      <formula>0.8</formula>
      <formula>1.2</formula>
    </cfRule>
  </conditionalFormatting>
  <conditionalFormatting sqref="AU39">
    <cfRule type="cellIs" dxfId="185" priority="77" stopIfTrue="1" operator="lessThan">
      <formula>0.8</formula>
    </cfRule>
  </conditionalFormatting>
  <conditionalFormatting sqref="AU39">
    <cfRule type="cellIs" dxfId="184" priority="76" stopIfTrue="1" operator="greaterThan">
      <formula>1.2</formula>
    </cfRule>
  </conditionalFormatting>
  <conditionalFormatting sqref="AU40">
    <cfRule type="cellIs" dxfId="183" priority="75" stopIfTrue="1" operator="between">
      <formula>0.8</formula>
      <formula>1.2</formula>
    </cfRule>
  </conditionalFormatting>
  <conditionalFormatting sqref="AU40">
    <cfRule type="cellIs" dxfId="182" priority="74" stopIfTrue="1" operator="lessThan">
      <formula>0.8</formula>
    </cfRule>
  </conditionalFormatting>
  <conditionalFormatting sqref="AU40">
    <cfRule type="cellIs" dxfId="181" priority="73" stopIfTrue="1" operator="greaterThan">
      <formula>1.2</formula>
    </cfRule>
  </conditionalFormatting>
  <conditionalFormatting sqref="AU41">
    <cfRule type="cellIs" dxfId="180" priority="72" stopIfTrue="1" operator="between">
      <formula>0.8</formula>
      <formula>1.2</formula>
    </cfRule>
  </conditionalFormatting>
  <conditionalFormatting sqref="AU41">
    <cfRule type="cellIs" dxfId="179" priority="71" stopIfTrue="1" operator="lessThan">
      <formula>0.8</formula>
    </cfRule>
  </conditionalFormatting>
  <conditionalFormatting sqref="AU41">
    <cfRule type="cellIs" dxfId="178" priority="70" stopIfTrue="1" operator="greaterThan">
      <formula>1.2</formula>
    </cfRule>
  </conditionalFormatting>
  <conditionalFormatting sqref="AU42">
    <cfRule type="cellIs" dxfId="177" priority="69" stopIfTrue="1" operator="between">
      <formula>0.8</formula>
      <formula>1.2</formula>
    </cfRule>
  </conditionalFormatting>
  <conditionalFormatting sqref="AU42">
    <cfRule type="cellIs" dxfId="176" priority="68" stopIfTrue="1" operator="lessThan">
      <formula>0.8</formula>
    </cfRule>
  </conditionalFormatting>
  <conditionalFormatting sqref="AU42">
    <cfRule type="cellIs" dxfId="175" priority="67" stopIfTrue="1" operator="greaterThan">
      <formula>1.2</formula>
    </cfRule>
  </conditionalFormatting>
  <conditionalFormatting sqref="AU43">
    <cfRule type="cellIs" dxfId="174" priority="66" stopIfTrue="1" operator="between">
      <formula>0.8</formula>
      <formula>1.2</formula>
    </cfRule>
  </conditionalFormatting>
  <conditionalFormatting sqref="AU43">
    <cfRule type="cellIs" dxfId="173" priority="65" stopIfTrue="1" operator="lessThan">
      <formula>0.8</formula>
    </cfRule>
  </conditionalFormatting>
  <conditionalFormatting sqref="AU43">
    <cfRule type="cellIs" dxfId="172" priority="64" stopIfTrue="1" operator="greaterThan">
      <formula>1.2</formula>
    </cfRule>
  </conditionalFormatting>
  <conditionalFormatting sqref="AU44">
    <cfRule type="cellIs" dxfId="171" priority="63" stopIfTrue="1" operator="between">
      <formula>0.8</formula>
      <formula>1.2</formula>
    </cfRule>
  </conditionalFormatting>
  <conditionalFormatting sqref="AU44">
    <cfRule type="cellIs" dxfId="170" priority="62" stopIfTrue="1" operator="lessThan">
      <formula>0.8</formula>
    </cfRule>
  </conditionalFormatting>
  <conditionalFormatting sqref="AU44">
    <cfRule type="cellIs" dxfId="169" priority="61" stopIfTrue="1" operator="greaterThan">
      <formula>1.2</formula>
    </cfRule>
  </conditionalFormatting>
  <conditionalFormatting sqref="AV25">
    <cfRule type="cellIs" dxfId="168" priority="60" stopIfTrue="1" operator="between">
      <formula>0.8</formula>
      <formula>1.2</formula>
    </cfRule>
  </conditionalFormatting>
  <conditionalFormatting sqref="AV25">
    <cfRule type="cellIs" dxfId="167" priority="59" stopIfTrue="1" operator="lessThan">
      <formula>0.8</formula>
    </cfRule>
  </conditionalFormatting>
  <conditionalFormatting sqref="AV25">
    <cfRule type="cellIs" dxfId="166" priority="58" stopIfTrue="1" operator="greaterThan">
      <formula>1.2</formula>
    </cfRule>
  </conditionalFormatting>
  <conditionalFormatting sqref="AV26">
    <cfRule type="cellIs" dxfId="165" priority="57" stopIfTrue="1" operator="between">
      <formula>0.8</formula>
      <formula>1.2</formula>
    </cfRule>
  </conditionalFormatting>
  <conditionalFormatting sqref="AV26">
    <cfRule type="cellIs" dxfId="164" priority="56" stopIfTrue="1" operator="lessThan">
      <formula>0.8</formula>
    </cfRule>
  </conditionalFormatting>
  <conditionalFormatting sqref="AV26">
    <cfRule type="cellIs" dxfId="163" priority="55" stopIfTrue="1" operator="greaterThan">
      <formula>1.2</formula>
    </cfRule>
  </conditionalFormatting>
  <conditionalFormatting sqref="AV27">
    <cfRule type="cellIs" dxfId="162" priority="54" stopIfTrue="1" operator="between">
      <formula>0.8</formula>
      <formula>1.2</formula>
    </cfRule>
  </conditionalFormatting>
  <conditionalFormatting sqref="AV27">
    <cfRule type="cellIs" dxfId="161" priority="53" stopIfTrue="1" operator="lessThan">
      <formula>0.8</formula>
    </cfRule>
  </conditionalFormatting>
  <conditionalFormatting sqref="AV27">
    <cfRule type="cellIs" dxfId="160" priority="52" stopIfTrue="1" operator="greaterThan">
      <formula>1.2</formula>
    </cfRule>
  </conditionalFormatting>
  <conditionalFormatting sqref="AV28">
    <cfRule type="cellIs" dxfId="159" priority="51" stopIfTrue="1" operator="between">
      <formula>0.8</formula>
      <formula>1.2</formula>
    </cfRule>
  </conditionalFormatting>
  <conditionalFormatting sqref="AV28">
    <cfRule type="cellIs" dxfId="158" priority="50" stopIfTrue="1" operator="lessThan">
      <formula>0.8</formula>
    </cfRule>
  </conditionalFormatting>
  <conditionalFormatting sqref="AV28">
    <cfRule type="cellIs" dxfId="157" priority="49" stopIfTrue="1" operator="greaterThan">
      <formula>1.2</formula>
    </cfRule>
  </conditionalFormatting>
  <conditionalFormatting sqref="AV29">
    <cfRule type="cellIs" dxfId="156" priority="48" stopIfTrue="1" operator="between">
      <formula>0.8</formula>
      <formula>1.2</formula>
    </cfRule>
  </conditionalFormatting>
  <conditionalFormatting sqref="AV29">
    <cfRule type="cellIs" dxfId="155" priority="47" stopIfTrue="1" operator="lessThan">
      <formula>0.8</formula>
    </cfRule>
  </conditionalFormatting>
  <conditionalFormatting sqref="AV29">
    <cfRule type="cellIs" dxfId="154" priority="46" stopIfTrue="1" operator="greaterThan">
      <formula>1.2</formula>
    </cfRule>
  </conditionalFormatting>
  <conditionalFormatting sqref="AV30">
    <cfRule type="cellIs" dxfId="153" priority="45" stopIfTrue="1" operator="between">
      <formula>0.8</formula>
      <formula>1.2</formula>
    </cfRule>
  </conditionalFormatting>
  <conditionalFormatting sqref="AV30">
    <cfRule type="cellIs" dxfId="152" priority="44" stopIfTrue="1" operator="lessThan">
      <formula>0.8</formula>
    </cfRule>
  </conditionalFormatting>
  <conditionalFormatting sqref="AV30">
    <cfRule type="cellIs" dxfId="151" priority="43" stopIfTrue="1" operator="greaterThan">
      <formula>1.2</formula>
    </cfRule>
  </conditionalFormatting>
  <conditionalFormatting sqref="AV31">
    <cfRule type="cellIs" dxfId="150" priority="42" stopIfTrue="1" operator="between">
      <formula>0.8</formula>
      <formula>1.2</formula>
    </cfRule>
  </conditionalFormatting>
  <conditionalFormatting sqref="AV31">
    <cfRule type="cellIs" dxfId="149" priority="41" stopIfTrue="1" operator="lessThan">
      <formula>0.8</formula>
    </cfRule>
  </conditionalFormatting>
  <conditionalFormatting sqref="AV31">
    <cfRule type="cellIs" dxfId="148" priority="40" stopIfTrue="1" operator="greaterThan">
      <formula>1.2</formula>
    </cfRule>
  </conditionalFormatting>
  <conditionalFormatting sqref="AV32">
    <cfRule type="cellIs" dxfId="147" priority="39" stopIfTrue="1" operator="between">
      <formula>0.8</formula>
      <formula>1.2</formula>
    </cfRule>
  </conditionalFormatting>
  <conditionalFormatting sqref="AV32">
    <cfRule type="cellIs" dxfId="146" priority="38" stopIfTrue="1" operator="lessThan">
      <formula>0.8</formula>
    </cfRule>
  </conditionalFormatting>
  <conditionalFormatting sqref="AV32">
    <cfRule type="cellIs" dxfId="145" priority="37" stopIfTrue="1" operator="greaterThan">
      <formula>1.2</formula>
    </cfRule>
  </conditionalFormatting>
  <conditionalFormatting sqref="AV33">
    <cfRule type="cellIs" dxfId="144" priority="36" stopIfTrue="1" operator="between">
      <formula>0.8</formula>
      <formula>1.2</formula>
    </cfRule>
  </conditionalFormatting>
  <conditionalFormatting sqref="AV33">
    <cfRule type="cellIs" dxfId="143" priority="35" stopIfTrue="1" operator="lessThan">
      <formula>0.8</formula>
    </cfRule>
  </conditionalFormatting>
  <conditionalFormatting sqref="AV33">
    <cfRule type="cellIs" dxfId="142" priority="34" stopIfTrue="1" operator="greaterThan">
      <formula>1.2</formula>
    </cfRule>
  </conditionalFormatting>
  <conditionalFormatting sqref="AV34">
    <cfRule type="cellIs" dxfId="141" priority="33" stopIfTrue="1" operator="between">
      <formula>0.8</formula>
      <formula>1.2</formula>
    </cfRule>
  </conditionalFormatting>
  <conditionalFormatting sqref="AV34">
    <cfRule type="cellIs" dxfId="140" priority="32" stopIfTrue="1" operator="lessThan">
      <formula>0.8</formula>
    </cfRule>
  </conditionalFormatting>
  <conditionalFormatting sqref="AV34">
    <cfRule type="cellIs" dxfId="139" priority="31" stopIfTrue="1" operator="greaterThan">
      <formula>1.2</formula>
    </cfRule>
  </conditionalFormatting>
  <conditionalFormatting sqref="AV35">
    <cfRule type="cellIs" dxfId="138" priority="30" stopIfTrue="1" operator="between">
      <formula>0.8</formula>
      <formula>1.2</formula>
    </cfRule>
  </conditionalFormatting>
  <conditionalFormatting sqref="AV35">
    <cfRule type="cellIs" dxfId="137" priority="29" stopIfTrue="1" operator="lessThan">
      <formula>0.8</formula>
    </cfRule>
  </conditionalFormatting>
  <conditionalFormatting sqref="AV35">
    <cfRule type="cellIs" dxfId="136" priority="28" stopIfTrue="1" operator="greaterThan">
      <formula>1.2</formula>
    </cfRule>
  </conditionalFormatting>
  <conditionalFormatting sqref="AV36">
    <cfRule type="cellIs" dxfId="135" priority="27" stopIfTrue="1" operator="between">
      <formula>0.8</formula>
      <formula>1.2</formula>
    </cfRule>
  </conditionalFormatting>
  <conditionalFormatting sqref="AV36">
    <cfRule type="cellIs" dxfId="134" priority="26" stopIfTrue="1" operator="lessThan">
      <formula>0.8</formula>
    </cfRule>
  </conditionalFormatting>
  <conditionalFormatting sqref="AV36">
    <cfRule type="cellIs" dxfId="133" priority="25" stopIfTrue="1" operator="greaterThan">
      <formula>1.2</formula>
    </cfRule>
  </conditionalFormatting>
  <conditionalFormatting sqref="AV37">
    <cfRule type="cellIs" dxfId="132" priority="24" stopIfTrue="1" operator="between">
      <formula>0.8</formula>
      <formula>1.2</formula>
    </cfRule>
  </conditionalFormatting>
  <conditionalFormatting sqref="AV37">
    <cfRule type="cellIs" dxfId="131" priority="23" stopIfTrue="1" operator="lessThan">
      <formula>0.8</formula>
    </cfRule>
  </conditionalFormatting>
  <conditionalFormatting sqref="AV37">
    <cfRule type="cellIs" dxfId="130" priority="22" stopIfTrue="1" operator="greaterThan">
      <formula>1.2</formula>
    </cfRule>
  </conditionalFormatting>
  <conditionalFormatting sqref="AV38">
    <cfRule type="cellIs" dxfId="129" priority="21" stopIfTrue="1" operator="between">
      <formula>0.8</formula>
      <formula>1.2</formula>
    </cfRule>
  </conditionalFormatting>
  <conditionalFormatting sqref="AV38">
    <cfRule type="cellIs" dxfId="128" priority="20" stopIfTrue="1" operator="lessThan">
      <formula>0.8</formula>
    </cfRule>
  </conditionalFormatting>
  <conditionalFormatting sqref="AV38">
    <cfRule type="cellIs" dxfId="127" priority="19" stopIfTrue="1" operator="greaterThan">
      <formula>1.2</formula>
    </cfRule>
  </conditionalFormatting>
  <conditionalFormatting sqref="AV39">
    <cfRule type="cellIs" dxfId="126" priority="18" stopIfTrue="1" operator="between">
      <formula>0.8</formula>
      <formula>1.2</formula>
    </cfRule>
  </conditionalFormatting>
  <conditionalFormatting sqref="AV39">
    <cfRule type="cellIs" dxfId="125" priority="17" stopIfTrue="1" operator="lessThan">
      <formula>0.8</formula>
    </cfRule>
  </conditionalFormatting>
  <conditionalFormatting sqref="AV39">
    <cfRule type="cellIs" dxfId="124" priority="16" stopIfTrue="1" operator="greaterThan">
      <formula>1.2</formula>
    </cfRule>
  </conditionalFormatting>
  <conditionalFormatting sqref="AV40">
    <cfRule type="cellIs" dxfId="123" priority="15" stopIfTrue="1" operator="between">
      <formula>0.8</formula>
      <formula>1.2</formula>
    </cfRule>
  </conditionalFormatting>
  <conditionalFormatting sqref="AV40">
    <cfRule type="cellIs" dxfId="122" priority="14" stopIfTrue="1" operator="lessThan">
      <formula>0.8</formula>
    </cfRule>
  </conditionalFormatting>
  <conditionalFormatting sqref="AV40">
    <cfRule type="cellIs" dxfId="121" priority="13" stopIfTrue="1" operator="greaterThan">
      <formula>1.2</formula>
    </cfRule>
  </conditionalFormatting>
  <conditionalFormatting sqref="AV41">
    <cfRule type="cellIs" dxfId="120" priority="12" stopIfTrue="1" operator="between">
      <formula>0.8</formula>
      <formula>1.2</formula>
    </cfRule>
  </conditionalFormatting>
  <conditionalFormatting sqref="AV41">
    <cfRule type="cellIs" dxfId="119" priority="11" stopIfTrue="1" operator="lessThan">
      <formula>0.8</formula>
    </cfRule>
  </conditionalFormatting>
  <conditionalFormatting sqref="AV41">
    <cfRule type="cellIs" dxfId="118" priority="10" stopIfTrue="1" operator="greaterThan">
      <formula>1.2</formula>
    </cfRule>
  </conditionalFormatting>
  <conditionalFormatting sqref="AV42">
    <cfRule type="cellIs" dxfId="117" priority="9" stopIfTrue="1" operator="between">
      <formula>0.8</formula>
      <formula>1.2</formula>
    </cfRule>
  </conditionalFormatting>
  <conditionalFormatting sqref="AV42">
    <cfRule type="cellIs" dxfId="116" priority="8" stopIfTrue="1" operator="lessThan">
      <formula>0.8</formula>
    </cfRule>
  </conditionalFormatting>
  <conditionalFormatting sqref="AV42">
    <cfRule type="cellIs" dxfId="115" priority="7" stopIfTrue="1" operator="greaterThan">
      <formula>1.2</formula>
    </cfRule>
  </conditionalFormatting>
  <conditionalFormatting sqref="AV43">
    <cfRule type="cellIs" dxfId="114" priority="6" stopIfTrue="1" operator="between">
      <formula>0.8</formula>
      <formula>1.2</formula>
    </cfRule>
  </conditionalFormatting>
  <conditionalFormatting sqref="AV43">
    <cfRule type="cellIs" dxfId="113" priority="5" stopIfTrue="1" operator="lessThan">
      <formula>0.8</formula>
    </cfRule>
  </conditionalFormatting>
  <conditionalFormatting sqref="AV43">
    <cfRule type="cellIs" dxfId="112" priority="4" stopIfTrue="1" operator="greaterThan">
      <formula>1.2</formula>
    </cfRule>
  </conditionalFormatting>
  <conditionalFormatting sqref="AV44">
    <cfRule type="cellIs" dxfId="111" priority="3" stopIfTrue="1" operator="between">
      <formula>0.8</formula>
      <formula>1.2</formula>
    </cfRule>
  </conditionalFormatting>
  <conditionalFormatting sqref="AV44">
    <cfRule type="cellIs" dxfId="110" priority="2" stopIfTrue="1" operator="lessThan">
      <formula>0.8</formula>
    </cfRule>
  </conditionalFormatting>
  <conditionalFormatting sqref="AV44">
    <cfRule type="cellIs" dxfId="109" priority="1" stopIfTrue="1" operator="greaterThan">
      <formula>1.2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3571-07FE-45C5-B25A-49949E318608}">
  <dimension ref="A1:AR20"/>
  <sheetViews>
    <sheetView workbookViewId="0">
      <selection sqref="A1:AR20"/>
    </sheetView>
  </sheetViews>
  <sheetFormatPr defaultRowHeight="14.25" x14ac:dyDescent="0.2"/>
  <sheetData>
    <row r="1" spans="1:44" ht="33.75" x14ac:dyDescent="0.2">
      <c r="A1" s="5"/>
      <c r="B1" s="5"/>
      <c r="C1" s="5"/>
      <c r="D1" s="4" t="s">
        <v>75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  <c r="N1" s="4" t="s">
        <v>85</v>
      </c>
      <c r="O1" s="4" t="s">
        <v>86</v>
      </c>
      <c r="P1" s="4" t="s">
        <v>87</v>
      </c>
      <c r="Q1" s="4" t="s">
        <v>75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75</v>
      </c>
      <c r="AA1" s="4" t="s">
        <v>96</v>
      </c>
      <c r="AB1" s="4" t="s">
        <v>97</v>
      </c>
      <c r="AC1" s="4" t="s">
        <v>98</v>
      </c>
      <c r="AD1" s="4" t="s">
        <v>99</v>
      </c>
      <c r="AE1" s="4" t="s">
        <v>100</v>
      </c>
      <c r="AF1" s="4" t="s">
        <v>101</v>
      </c>
      <c r="AG1" s="4" t="s">
        <v>102</v>
      </c>
      <c r="AH1" s="4" t="s">
        <v>103</v>
      </c>
      <c r="AI1" s="4" t="s">
        <v>104</v>
      </c>
      <c r="AJ1" s="4" t="s">
        <v>105</v>
      </c>
      <c r="AK1" s="4" t="s">
        <v>75</v>
      </c>
      <c r="AL1" s="4" t="s">
        <v>106</v>
      </c>
      <c r="AM1" s="4" t="s">
        <v>107</v>
      </c>
      <c r="AN1" s="4" t="s">
        <v>108</v>
      </c>
      <c r="AO1" s="4" t="s">
        <v>109</v>
      </c>
      <c r="AP1" s="4" t="s">
        <v>110</v>
      </c>
      <c r="AQ1" s="4" t="s">
        <v>111</v>
      </c>
      <c r="AR1" s="4" t="s">
        <v>75</v>
      </c>
    </row>
    <row r="2" spans="1:44" x14ac:dyDescent="0.2">
      <c r="A2" s="4" t="s">
        <v>129</v>
      </c>
      <c r="B2" s="4" t="s">
        <v>130</v>
      </c>
      <c r="C2" s="3" t="s">
        <v>493</v>
      </c>
      <c r="D2" s="1">
        <v>459</v>
      </c>
      <c r="E2" s="1">
        <v>3.883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396.7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383.3</v>
      </c>
      <c r="AA2" s="1">
        <v>31.54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380.7</v>
      </c>
      <c r="AL2" s="1">
        <v>3.645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379.5</v>
      </c>
    </row>
    <row r="3" spans="1:44" x14ac:dyDescent="0.2">
      <c r="A3" s="4" t="s">
        <v>139</v>
      </c>
      <c r="B3" s="4" t="s">
        <v>140</v>
      </c>
      <c r="C3" s="3" t="s">
        <v>493</v>
      </c>
      <c r="D3" s="1">
        <v>249.8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217.6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211.9</v>
      </c>
      <c r="AA3" s="1">
        <v>15.4</v>
      </c>
      <c r="AB3" s="1">
        <v>0</v>
      </c>
      <c r="AC3" s="1">
        <v>2.8919999999999999</v>
      </c>
      <c r="AD3" s="1">
        <v>3.1360000000000001</v>
      </c>
      <c r="AE3" s="1">
        <v>2.5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210.9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210.3</v>
      </c>
    </row>
    <row r="4" spans="1:44" x14ac:dyDescent="0.2">
      <c r="A4" s="4" t="s">
        <v>150</v>
      </c>
      <c r="B4" s="4" t="s">
        <v>151</v>
      </c>
      <c r="C4" s="3" t="s">
        <v>493</v>
      </c>
      <c r="D4" s="1">
        <v>418.3</v>
      </c>
      <c r="E4" s="1">
        <v>126.4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361.4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349.1</v>
      </c>
      <c r="AA4" s="1">
        <v>913.2</v>
      </c>
      <c r="AB4" s="1">
        <v>6.1059999999999999</v>
      </c>
      <c r="AC4" s="1">
        <v>5.7510000000000003</v>
      </c>
      <c r="AD4" s="1">
        <v>9.1069999999999993</v>
      </c>
      <c r="AE4" s="1">
        <v>6.6559999999999997</v>
      </c>
      <c r="AF4" s="1">
        <v>0</v>
      </c>
      <c r="AG4" s="1">
        <v>0</v>
      </c>
      <c r="AH4" s="1">
        <v>0</v>
      </c>
      <c r="AI4" s="1">
        <v>0</v>
      </c>
      <c r="AJ4" s="1">
        <v>4.4509999999999996</v>
      </c>
      <c r="AK4" s="1">
        <v>346.8</v>
      </c>
      <c r="AL4" s="1">
        <v>118.4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345.6</v>
      </c>
    </row>
    <row r="5" spans="1:44" x14ac:dyDescent="0.2">
      <c r="A5" s="4" t="s">
        <v>169</v>
      </c>
      <c r="B5" s="4" t="s">
        <v>170</v>
      </c>
      <c r="C5" s="3" t="s">
        <v>493</v>
      </c>
      <c r="D5" s="1">
        <v>423.9</v>
      </c>
      <c r="E5" s="1">
        <v>2.8069999999999999</v>
      </c>
      <c r="F5" s="1">
        <v>4.3840000000000003</v>
      </c>
      <c r="G5" s="1">
        <v>4.1059999999999999</v>
      </c>
      <c r="H5" s="1">
        <v>4.0999999999999996</v>
      </c>
      <c r="I5" s="1">
        <v>4.1710000000000003</v>
      </c>
      <c r="J5" s="1">
        <v>3.92</v>
      </c>
      <c r="K5" s="1">
        <v>4.7930000000000001</v>
      </c>
      <c r="L5" s="1">
        <v>3.6539999999999999</v>
      </c>
      <c r="M5" s="1">
        <v>4.2839999999999998</v>
      </c>
      <c r="N5" s="1">
        <v>4.5949999999999998</v>
      </c>
      <c r="O5" s="1">
        <v>4.6920000000000002</v>
      </c>
      <c r="P5" s="1">
        <v>3.4430000000000001</v>
      </c>
      <c r="Q5" s="1">
        <v>365.3</v>
      </c>
      <c r="R5" s="1">
        <v>4.0049999999999999</v>
      </c>
      <c r="S5" s="1">
        <v>3.9489999999999998</v>
      </c>
      <c r="T5" s="1">
        <v>4.069</v>
      </c>
      <c r="U5" s="1">
        <v>4.2270000000000003</v>
      </c>
      <c r="V5" s="1">
        <v>4.0759999999999996</v>
      </c>
      <c r="W5" s="1">
        <v>3.1840000000000002</v>
      </c>
      <c r="X5" s="1">
        <v>4.0979999999999999</v>
      </c>
      <c r="Y5" s="1">
        <v>3.7829999999999999</v>
      </c>
      <c r="Z5" s="1">
        <v>352.8</v>
      </c>
      <c r="AA5" s="1">
        <v>21.62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350.6</v>
      </c>
      <c r="AL5" s="1">
        <v>2.589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349.4</v>
      </c>
    </row>
    <row r="6" spans="1:44" x14ac:dyDescent="0.2">
      <c r="A6" s="4" t="s">
        <v>196</v>
      </c>
      <c r="B6" s="4" t="s">
        <v>197</v>
      </c>
      <c r="C6" s="3" t="s">
        <v>493</v>
      </c>
      <c r="D6" s="1">
        <v>232.2</v>
      </c>
      <c r="E6" s="1">
        <v>2.8860000000000001</v>
      </c>
      <c r="F6" s="1">
        <v>27.9</v>
      </c>
      <c r="G6" s="1">
        <v>27.31</v>
      </c>
      <c r="H6" s="1">
        <v>26.41</v>
      </c>
      <c r="I6" s="1">
        <v>27.14</v>
      </c>
      <c r="J6" s="1">
        <v>24.74</v>
      </c>
      <c r="K6" s="1">
        <v>30.76</v>
      </c>
      <c r="L6" s="1">
        <v>27.12</v>
      </c>
      <c r="M6" s="1">
        <v>28.03</v>
      </c>
      <c r="N6" s="1">
        <v>29.28</v>
      </c>
      <c r="O6" s="1">
        <v>28.54</v>
      </c>
      <c r="P6" s="1">
        <v>24.84</v>
      </c>
      <c r="Q6" s="1">
        <v>201.6</v>
      </c>
      <c r="R6" s="1">
        <v>25.86</v>
      </c>
      <c r="S6" s="1">
        <v>25.86</v>
      </c>
      <c r="T6" s="1">
        <v>29.49</v>
      </c>
      <c r="U6" s="1">
        <v>25.64</v>
      </c>
      <c r="V6" s="1">
        <v>26.7</v>
      </c>
      <c r="W6" s="1">
        <v>25.46</v>
      </c>
      <c r="X6" s="1">
        <v>26.68</v>
      </c>
      <c r="Y6" s="1">
        <v>24.79</v>
      </c>
      <c r="Z6" s="1">
        <v>195.8</v>
      </c>
      <c r="AA6" s="1">
        <v>22.55</v>
      </c>
      <c r="AB6" s="1">
        <v>132</v>
      </c>
      <c r="AC6" s="1">
        <v>125.6</v>
      </c>
      <c r="AD6" s="1">
        <v>138</v>
      </c>
      <c r="AE6" s="1">
        <v>142.4</v>
      </c>
      <c r="AF6" s="1">
        <v>14.68</v>
      </c>
      <c r="AG6" s="1">
        <v>13.37</v>
      </c>
      <c r="AH6" s="1">
        <v>13.3</v>
      </c>
      <c r="AI6" s="1">
        <v>21.28</v>
      </c>
      <c r="AJ6" s="1">
        <v>61.92</v>
      </c>
      <c r="AK6" s="1">
        <v>194.7</v>
      </c>
      <c r="AL6" s="1">
        <v>2.8050000000000002</v>
      </c>
      <c r="AM6" s="1">
        <v>35.74</v>
      </c>
      <c r="AN6" s="1">
        <v>42.47</v>
      </c>
      <c r="AO6" s="1">
        <v>35.270000000000003</v>
      </c>
      <c r="AP6" s="1">
        <v>37.6</v>
      </c>
      <c r="AQ6" s="1">
        <v>22.08</v>
      </c>
      <c r="AR6" s="1">
        <v>194.3</v>
      </c>
    </row>
    <row r="7" spans="1:44" x14ac:dyDescent="0.2">
      <c r="A7" s="4" t="s">
        <v>237</v>
      </c>
      <c r="B7" s="4" t="s">
        <v>238</v>
      </c>
      <c r="C7" s="3" t="s">
        <v>493</v>
      </c>
      <c r="D7" s="1">
        <v>228.4</v>
      </c>
      <c r="E7" s="1">
        <v>93.16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199.3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193.9</v>
      </c>
      <c r="AA7" s="1">
        <v>750.3</v>
      </c>
      <c r="AB7" s="1">
        <v>12.64</v>
      </c>
      <c r="AC7" s="1">
        <v>12.11</v>
      </c>
      <c r="AD7" s="1">
        <v>13.48</v>
      </c>
      <c r="AE7" s="1">
        <v>14.07</v>
      </c>
      <c r="AF7" s="1">
        <v>0</v>
      </c>
      <c r="AG7" s="1">
        <v>0</v>
      </c>
      <c r="AH7" s="1">
        <v>0</v>
      </c>
      <c r="AI7" s="1">
        <v>4.3620000000000001</v>
      </c>
      <c r="AJ7" s="1">
        <v>12.21</v>
      </c>
      <c r="AK7" s="1">
        <v>192.8</v>
      </c>
      <c r="AL7" s="1">
        <v>85.6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192.4</v>
      </c>
    </row>
    <row r="8" spans="1:44" x14ac:dyDescent="0.2">
      <c r="A8" s="4" t="s">
        <v>254</v>
      </c>
      <c r="B8" s="4" t="s">
        <v>255</v>
      </c>
      <c r="C8" s="3" t="s">
        <v>493</v>
      </c>
      <c r="D8" s="1">
        <v>225.1</v>
      </c>
      <c r="E8" s="1">
        <v>0</v>
      </c>
      <c r="F8" s="1">
        <v>5.51</v>
      </c>
      <c r="G8" s="1">
        <v>5.1310000000000002</v>
      </c>
      <c r="H8" s="1">
        <v>4.7089999999999996</v>
      </c>
      <c r="I8" s="1">
        <v>5.1580000000000004</v>
      </c>
      <c r="J8" s="1">
        <v>4.8579999999999997</v>
      </c>
      <c r="K8" s="1">
        <v>5.6980000000000004</v>
      </c>
      <c r="L8" s="1">
        <v>5.0350000000000001</v>
      </c>
      <c r="M8" s="1">
        <v>5.335</v>
      </c>
      <c r="N8" s="1">
        <v>5.9379999999999997</v>
      </c>
      <c r="O8" s="1">
        <v>5.5289999999999999</v>
      </c>
      <c r="P8" s="1">
        <v>4.649</v>
      </c>
      <c r="Q8" s="1">
        <v>197.4</v>
      </c>
      <c r="R8" s="1">
        <v>4.4770000000000003</v>
      </c>
      <c r="S8" s="1">
        <v>4.8369999999999997</v>
      </c>
      <c r="T8" s="1">
        <v>5.4370000000000003</v>
      </c>
      <c r="U8" s="1">
        <v>4.7939999999999996</v>
      </c>
      <c r="V8" s="1">
        <v>4.8879999999999999</v>
      </c>
      <c r="W8" s="1">
        <v>4.5590000000000002</v>
      </c>
      <c r="X8" s="1">
        <v>5.01</v>
      </c>
      <c r="Y8" s="1">
        <v>4.6740000000000004</v>
      </c>
      <c r="Z8" s="1">
        <v>193.2</v>
      </c>
      <c r="AA8" s="1">
        <v>7.8819999999999997</v>
      </c>
      <c r="AB8" s="1">
        <v>24.48</v>
      </c>
      <c r="AC8" s="1">
        <v>23.15</v>
      </c>
      <c r="AD8" s="1">
        <v>25.41</v>
      </c>
      <c r="AE8" s="1">
        <v>26.51</v>
      </c>
      <c r="AF8" s="1">
        <v>2.4940000000000002</v>
      </c>
      <c r="AG8" s="1">
        <v>0</v>
      </c>
      <c r="AH8" s="1">
        <v>0</v>
      </c>
      <c r="AI8" s="1">
        <v>5.7939999999999996</v>
      </c>
      <c r="AJ8" s="1">
        <v>16.84</v>
      </c>
      <c r="AK8" s="1">
        <v>192.2</v>
      </c>
      <c r="AL8" s="1">
        <v>0</v>
      </c>
      <c r="AM8" s="1">
        <v>3.431</v>
      </c>
      <c r="AN8" s="1">
        <v>4.1520000000000001</v>
      </c>
      <c r="AO8" s="1">
        <v>3.6</v>
      </c>
      <c r="AP8" s="1">
        <v>3.6160000000000001</v>
      </c>
      <c r="AQ8" s="1">
        <v>4.0250000000000004</v>
      </c>
      <c r="AR8" s="1">
        <v>192.4</v>
      </c>
    </row>
    <row r="9" spans="1:44" x14ac:dyDescent="0.2">
      <c r="A9" s="4" t="s">
        <v>296</v>
      </c>
      <c r="B9" s="4" t="s">
        <v>297</v>
      </c>
      <c r="C9" s="3" t="s">
        <v>493</v>
      </c>
      <c r="D9" s="1">
        <v>406.5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352.2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340.7</v>
      </c>
      <c r="AA9" s="1">
        <v>5.1769999999999996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338.5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337.9</v>
      </c>
    </row>
    <row r="10" spans="1:44" x14ac:dyDescent="0.2">
      <c r="A10" s="4" t="s">
        <v>304</v>
      </c>
      <c r="B10" s="4" t="s">
        <v>305</v>
      </c>
      <c r="C10" s="3" t="s">
        <v>493</v>
      </c>
      <c r="D10" s="1">
        <v>554.70000000000005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483.3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471.1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469.1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469</v>
      </c>
    </row>
    <row r="11" spans="1:44" x14ac:dyDescent="0.2">
      <c r="A11" s="4" t="s">
        <v>310</v>
      </c>
      <c r="B11" s="4" t="s">
        <v>311</v>
      </c>
      <c r="C11" s="3" t="s">
        <v>493</v>
      </c>
      <c r="D11" s="1">
        <v>525.20000000000005</v>
      </c>
      <c r="E11" s="1">
        <v>0</v>
      </c>
      <c r="F11" s="1">
        <v>10.83</v>
      </c>
      <c r="G11" s="1">
        <v>10.55</v>
      </c>
      <c r="H11" s="1">
        <v>8.8580000000000005</v>
      </c>
      <c r="I11" s="1">
        <v>9.6189999999999998</v>
      </c>
      <c r="J11" s="1">
        <v>9.6950000000000003</v>
      </c>
      <c r="K11" s="1">
        <v>10.98</v>
      </c>
      <c r="L11" s="1">
        <v>9.1140000000000008</v>
      </c>
      <c r="M11" s="1">
        <v>10.65</v>
      </c>
      <c r="N11" s="1">
        <v>10.46</v>
      </c>
      <c r="O11" s="1">
        <v>10.18</v>
      </c>
      <c r="P11" s="1">
        <v>8.5289999999999999</v>
      </c>
      <c r="Q11" s="1">
        <v>458.2</v>
      </c>
      <c r="R11" s="1">
        <v>8.625</v>
      </c>
      <c r="S11" s="1">
        <v>8.2270000000000003</v>
      </c>
      <c r="T11" s="1">
        <v>9.6180000000000003</v>
      </c>
      <c r="U11" s="1">
        <v>8.8729999999999993</v>
      </c>
      <c r="V11" s="1">
        <v>8.5389999999999997</v>
      </c>
      <c r="W11" s="1">
        <v>8.6210000000000004</v>
      </c>
      <c r="X11" s="1">
        <v>8.7639999999999993</v>
      </c>
      <c r="Y11" s="1">
        <v>8.4019999999999992</v>
      </c>
      <c r="Z11" s="1">
        <v>446.8</v>
      </c>
      <c r="AA11" s="1">
        <v>14.09</v>
      </c>
      <c r="AB11" s="1">
        <v>98.8</v>
      </c>
      <c r="AC11" s="1">
        <v>93.88</v>
      </c>
      <c r="AD11" s="1">
        <v>103</v>
      </c>
      <c r="AE11" s="1">
        <v>106.6</v>
      </c>
      <c r="AF11" s="1">
        <v>11.47</v>
      </c>
      <c r="AG11" s="1">
        <v>10.39</v>
      </c>
      <c r="AH11" s="1">
        <v>10.85</v>
      </c>
      <c r="AI11" s="1">
        <v>24.94</v>
      </c>
      <c r="AJ11" s="1">
        <v>71.83</v>
      </c>
      <c r="AK11" s="1">
        <v>444.7</v>
      </c>
      <c r="AL11" s="1">
        <v>0</v>
      </c>
      <c r="AM11" s="1">
        <v>13.45</v>
      </c>
      <c r="AN11" s="1">
        <v>15.53</v>
      </c>
      <c r="AO11" s="1">
        <v>13.08</v>
      </c>
      <c r="AP11" s="1">
        <v>14.43</v>
      </c>
      <c r="AQ11" s="1">
        <v>5.2969999999999997</v>
      </c>
      <c r="AR11" s="1">
        <v>444.2</v>
      </c>
    </row>
    <row r="12" spans="1:44" x14ac:dyDescent="0.2">
      <c r="A12" s="4" t="s">
        <v>355</v>
      </c>
      <c r="B12" s="4" t="s">
        <v>356</v>
      </c>
      <c r="C12" s="3" t="s">
        <v>493</v>
      </c>
      <c r="D12" s="1">
        <v>199.4</v>
      </c>
      <c r="E12" s="1">
        <v>58.59</v>
      </c>
      <c r="F12" s="1">
        <v>658.4</v>
      </c>
      <c r="G12" s="1">
        <v>634.4</v>
      </c>
      <c r="H12" s="1">
        <v>608.4</v>
      </c>
      <c r="I12" s="1">
        <v>628.20000000000005</v>
      </c>
      <c r="J12" s="1">
        <v>580.20000000000005</v>
      </c>
      <c r="K12" s="1">
        <v>715.6</v>
      </c>
      <c r="L12" s="1">
        <v>618.9</v>
      </c>
      <c r="M12" s="1">
        <v>649.9</v>
      </c>
      <c r="N12" s="1">
        <v>678.8</v>
      </c>
      <c r="O12" s="1">
        <v>669.1</v>
      </c>
      <c r="P12" s="1">
        <v>584.5</v>
      </c>
      <c r="Q12" s="1">
        <v>173.5</v>
      </c>
      <c r="R12" s="1">
        <v>611.4</v>
      </c>
      <c r="S12" s="1">
        <v>604</v>
      </c>
      <c r="T12" s="1">
        <v>683.4</v>
      </c>
      <c r="U12" s="1">
        <v>603.1</v>
      </c>
      <c r="V12" s="1">
        <v>620.4</v>
      </c>
      <c r="W12" s="1">
        <v>584.29999999999995</v>
      </c>
      <c r="X12" s="1">
        <v>624.29999999999995</v>
      </c>
      <c r="Y12" s="1">
        <v>579.79999999999995</v>
      </c>
      <c r="Z12" s="1">
        <v>169.4</v>
      </c>
      <c r="AA12" s="1">
        <v>488.2</v>
      </c>
      <c r="AB12" s="1">
        <v>3955</v>
      </c>
      <c r="AC12" s="1">
        <v>3761</v>
      </c>
      <c r="AD12" s="1">
        <v>4117</v>
      </c>
      <c r="AE12" s="1">
        <v>4253</v>
      </c>
      <c r="AF12" s="1">
        <v>457.3</v>
      </c>
      <c r="AG12" s="1">
        <v>408.7</v>
      </c>
      <c r="AH12" s="1">
        <v>406.5</v>
      </c>
      <c r="AI12" s="1">
        <v>876.2</v>
      </c>
      <c r="AJ12" s="1">
        <v>2449</v>
      </c>
      <c r="AK12" s="1">
        <v>168.6</v>
      </c>
      <c r="AL12" s="1">
        <v>53.92</v>
      </c>
      <c r="AM12" s="1">
        <v>693.8</v>
      </c>
      <c r="AN12" s="1">
        <v>809.2</v>
      </c>
      <c r="AO12" s="1">
        <v>673</v>
      </c>
      <c r="AP12" s="1">
        <v>732</v>
      </c>
      <c r="AQ12" s="1">
        <v>761.1</v>
      </c>
      <c r="AR12" s="1">
        <v>168.1</v>
      </c>
    </row>
    <row r="13" spans="1:44" x14ac:dyDescent="0.2">
      <c r="A13" s="4" t="s">
        <v>402</v>
      </c>
      <c r="B13" s="4" t="s">
        <v>403</v>
      </c>
      <c r="C13" s="3" t="s">
        <v>493</v>
      </c>
      <c r="D13" s="1">
        <v>188.4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163.6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159.69999999999999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21.43</v>
      </c>
      <c r="AJ13" s="1">
        <v>74.34</v>
      </c>
      <c r="AK13" s="1">
        <v>158.80000000000001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158.4</v>
      </c>
    </row>
    <row r="14" spans="1:44" x14ac:dyDescent="0.2">
      <c r="A14" s="4" t="s">
        <v>414</v>
      </c>
      <c r="B14" s="4" t="s">
        <v>415</v>
      </c>
      <c r="C14" s="3" t="s">
        <v>493</v>
      </c>
      <c r="D14" s="1">
        <v>184.3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159.5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155.1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154.5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154.1</v>
      </c>
    </row>
    <row r="15" spans="1:44" x14ac:dyDescent="0.2">
      <c r="A15" s="4" t="s">
        <v>421</v>
      </c>
      <c r="B15" s="4" t="s">
        <v>422</v>
      </c>
      <c r="C15" s="3" t="s">
        <v>493</v>
      </c>
      <c r="D15" s="1">
        <v>380.4</v>
      </c>
      <c r="E15" s="1">
        <v>106.9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329.2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318.2</v>
      </c>
      <c r="AA15" s="1">
        <v>722.4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11.16</v>
      </c>
      <c r="AK15" s="1">
        <v>316.39999999999998</v>
      </c>
      <c r="AL15" s="1">
        <v>99.8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315.3</v>
      </c>
    </row>
    <row r="16" spans="1:44" x14ac:dyDescent="0.2">
      <c r="A16" s="4" t="s">
        <v>433</v>
      </c>
      <c r="B16" s="4" t="s">
        <v>434</v>
      </c>
      <c r="C16" s="3" t="s">
        <v>493</v>
      </c>
      <c r="D16" s="1">
        <v>500</v>
      </c>
      <c r="E16" s="1">
        <v>0</v>
      </c>
      <c r="F16" s="1">
        <v>21.33</v>
      </c>
      <c r="G16" s="1">
        <v>20.62</v>
      </c>
      <c r="H16" s="1">
        <v>17.059999999999999</v>
      </c>
      <c r="I16" s="1">
        <v>17.760000000000002</v>
      </c>
      <c r="J16" s="1">
        <v>16.28</v>
      </c>
      <c r="K16" s="1">
        <v>20.21</v>
      </c>
      <c r="L16" s="1">
        <v>17.5</v>
      </c>
      <c r="M16" s="1">
        <v>21.08</v>
      </c>
      <c r="N16" s="1">
        <v>19.12</v>
      </c>
      <c r="O16" s="1">
        <v>18.87</v>
      </c>
      <c r="P16" s="1">
        <v>16.57</v>
      </c>
      <c r="Q16" s="1">
        <v>435.1</v>
      </c>
      <c r="R16" s="1">
        <v>17.27</v>
      </c>
      <c r="S16" s="1">
        <v>17.18</v>
      </c>
      <c r="T16" s="1">
        <v>19.649999999999999</v>
      </c>
      <c r="U16" s="1">
        <v>17.16</v>
      </c>
      <c r="V16" s="1">
        <v>17.690000000000001</v>
      </c>
      <c r="W16" s="1">
        <v>16.739999999999998</v>
      </c>
      <c r="X16" s="1">
        <v>17.559999999999999</v>
      </c>
      <c r="Y16" s="1">
        <v>16.45</v>
      </c>
      <c r="Z16" s="1">
        <v>424</v>
      </c>
      <c r="AA16" s="1">
        <v>0</v>
      </c>
      <c r="AB16" s="1">
        <v>23.04</v>
      </c>
      <c r="AC16" s="1">
        <v>21.92</v>
      </c>
      <c r="AD16" s="1">
        <v>23.84</v>
      </c>
      <c r="AE16" s="1">
        <v>24.49</v>
      </c>
      <c r="AF16" s="1">
        <v>0</v>
      </c>
      <c r="AG16" s="1">
        <v>0</v>
      </c>
      <c r="AH16" s="1">
        <v>0</v>
      </c>
      <c r="AI16" s="1">
        <v>15.88</v>
      </c>
      <c r="AJ16" s="1">
        <v>48.54</v>
      </c>
      <c r="AK16" s="1">
        <v>422.1</v>
      </c>
      <c r="AL16" s="1">
        <v>0</v>
      </c>
      <c r="AM16" s="1">
        <v>22.95</v>
      </c>
      <c r="AN16" s="1">
        <v>26.9</v>
      </c>
      <c r="AO16" s="1">
        <v>22.28</v>
      </c>
      <c r="AP16" s="1">
        <v>24.34</v>
      </c>
      <c r="AQ16" s="1">
        <v>24.75</v>
      </c>
      <c r="AR16" s="1">
        <v>421.1</v>
      </c>
    </row>
    <row r="17" spans="1:44" x14ac:dyDescent="0.2">
      <c r="A17" s="4" t="s">
        <v>468</v>
      </c>
      <c r="B17" s="4" t="s">
        <v>469</v>
      </c>
      <c r="C17" s="3" t="s">
        <v>493</v>
      </c>
      <c r="D17" s="1">
        <v>187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161.80000000000001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156.5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155.5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154.69999999999999</v>
      </c>
    </row>
    <row r="18" spans="1:44" x14ac:dyDescent="0.2">
      <c r="A18" s="4" t="s">
        <v>474</v>
      </c>
      <c r="B18" s="4" t="s">
        <v>475</v>
      </c>
      <c r="C18" s="3" t="s">
        <v>493</v>
      </c>
      <c r="D18" s="1">
        <v>411.2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355.1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343.5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341.1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339.3</v>
      </c>
    </row>
    <row r="19" spans="1:44" x14ac:dyDescent="0.2">
      <c r="A19" s="4" t="s">
        <v>480</v>
      </c>
      <c r="B19" s="4" t="s">
        <v>481</v>
      </c>
      <c r="C19" s="3" t="s">
        <v>493</v>
      </c>
      <c r="D19" s="1">
        <v>202.4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177.4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173.1</v>
      </c>
      <c r="AA19" s="1">
        <v>3.9670000000000001</v>
      </c>
      <c r="AB19" s="1">
        <v>38.1</v>
      </c>
      <c r="AC19" s="1">
        <v>37</v>
      </c>
      <c r="AD19" s="1">
        <v>40.229999999999997</v>
      </c>
      <c r="AE19" s="1">
        <v>41.67</v>
      </c>
      <c r="AF19" s="1">
        <v>0</v>
      </c>
      <c r="AG19" s="1">
        <v>0</v>
      </c>
      <c r="AH19" s="1">
        <v>0</v>
      </c>
      <c r="AI19" s="1">
        <v>0</v>
      </c>
      <c r="AJ19" s="1">
        <v>4.1459999999999999</v>
      </c>
      <c r="AK19" s="1">
        <v>174.1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171.8</v>
      </c>
    </row>
    <row r="20" spans="1:44" x14ac:dyDescent="0.2">
      <c r="A20" s="4" t="s">
        <v>114</v>
      </c>
      <c r="B20" s="4" t="s">
        <v>115</v>
      </c>
      <c r="C20" s="3" t="s">
        <v>493</v>
      </c>
      <c r="D20" s="1">
        <v>663.7</v>
      </c>
      <c r="E20" s="1">
        <v>0</v>
      </c>
      <c r="F20" s="1">
        <v>0</v>
      </c>
      <c r="G20" s="1">
        <v>0</v>
      </c>
      <c r="H20" s="1">
        <v>4.8949999999999996</v>
      </c>
      <c r="I20" s="1">
        <v>0</v>
      </c>
      <c r="J20" s="1">
        <v>0</v>
      </c>
      <c r="K20" s="1">
        <v>3.0819999999999999</v>
      </c>
      <c r="L20" s="1">
        <v>0</v>
      </c>
      <c r="M20" s="1">
        <v>2.879</v>
      </c>
      <c r="N20" s="1">
        <v>0</v>
      </c>
      <c r="O20" s="1">
        <v>0</v>
      </c>
      <c r="P20" s="1">
        <v>0</v>
      </c>
      <c r="Q20" s="1">
        <v>600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595.9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8.718</v>
      </c>
      <c r="AJ20" s="1">
        <v>0</v>
      </c>
      <c r="AK20" s="1">
        <v>596.4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596.70000000000005</v>
      </c>
    </row>
  </sheetData>
  <mergeCells count="1">
    <mergeCell ref="A1:C1"/>
  </mergeCells>
  <conditionalFormatting sqref="D2:AR2">
    <cfRule type="cellIs" dxfId="108" priority="35" operator="lessThan">
      <formula>1474.69995117187</formula>
    </cfRule>
    <cfRule type="cellIs" dxfId="107" priority="36" operator="greaterThan">
      <formula>1474.69995117187</formula>
    </cfRule>
  </conditionalFormatting>
  <conditionalFormatting sqref="D3:AR3">
    <cfRule type="cellIs" dxfId="106" priority="33" operator="lessThan">
      <formula>854.890014648437</formula>
    </cfRule>
    <cfRule type="cellIs" dxfId="105" priority="34" operator="greaterThan">
      <formula>854.890014648437</formula>
    </cfRule>
  </conditionalFormatting>
  <conditionalFormatting sqref="D4:AR4">
    <cfRule type="cellIs" dxfId="104" priority="31" operator="lessThan">
      <formula>5328.7998046875</formula>
    </cfRule>
    <cfRule type="cellIs" dxfId="103" priority="32" operator="greaterThan">
      <formula>5328.7998046875</formula>
    </cfRule>
  </conditionalFormatting>
  <conditionalFormatting sqref="D5:AR5">
    <cfRule type="cellIs" dxfId="102" priority="29" operator="lessThan">
      <formula>1403.40002441406</formula>
    </cfRule>
    <cfRule type="cellIs" dxfId="101" priority="30" operator="greaterThan">
      <formula>1403.40002441406</formula>
    </cfRule>
  </conditionalFormatting>
  <conditionalFormatting sqref="D6:AR6">
    <cfRule type="cellIs" dxfId="100" priority="27" operator="lessThan">
      <formula>792.400024414062</formula>
    </cfRule>
    <cfRule type="cellIs" dxfId="99" priority="28" operator="greaterThan">
      <formula>792.400024414062</formula>
    </cfRule>
  </conditionalFormatting>
  <conditionalFormatting sqref="D7:AR7">
    <cfRule type="cellIs" dxfId="98" priority="25" operator="lessThan">
      <formula>3005.80004882812</formula>
    </cfRule>
    <cfRule type="cellIs" dxfId="97" priority="26" operator="greaterThan">
      <formula>3005.80004882812</formula>
    </cfRule>
  </conditionalFormatting>
  <conditionalFormatting sqref="D8:AR8">
    <cfRule type="cellIs" dxfId="96" priority="23" operator="lessThan">
      <formula>749.619995117187</formula>
    </cfRule>
    <cfRule type="cellIs" dxfId="95" priority="24" operator="greaterThan">
      <formula>749.619995117187</formula>
    </cfRule>
  </conditionalFormatting>
  <conditionalFormatting sqref="D9:AR9">
    <cfRule type="cellIs" dxfId="94" priority="21" operator="lessThan">
      <formula>1338.5</formula>
    </cfRule>
    <cfRule type="cellIs" dxfId="93" priority="22" operator="greaterThan">
      <formula>1338.5</formula>
    </cfRule>
  </conditionalFormatting>
  <conditionalFormatting sqref="D10:AR10">
    <cfRule type="cellIs" dxfId="92" priority="19" operator="lessThan">
      <formula>1705.30004882812</formula>
    </cfRule>
    <cfRule type="cellIs" dxfId="91" priority="20" operator="greaterThan">
      <formula>1705.30004882812</formula>
    </cfRule>
  </conditionalFormatting>
  <conditionalFormatting sqref="D11:AR11">
    <cfRule type="cellIs" dxfId="90" priority="17" operator="lessThan">
      <formula>7009.5</formula>
    </cfRule>
    <cfRule type="cellIs" dxfId="89" priority="18" operator="greaterThan">
      <formula>7009.5</formula>
    </cfRule>
  </conditionalFormatting>
  <conditionalFormatting sqref="D12:AR12">
    <cfRule type="cellIs" dxfId="88" priority="15" operator="lessThan">
      <formula>2698.10009765625</formula>
    </cfRule>
    <cfRule type="cellIs" dxfId="87" priority="16" operator="greaterThan">
      <formula>2698.10009765625</formula>
    </cfRule>
  </conditionalFormatting>
  <conditionalFormatting sqref="D13:AR13">
    <cfRule type="cellIs" dxfId="86" priority="13" operator="lessThan">
      <formula>640.330017089844</formula>
    </cfRule>
    <cfRule type="cellIs" dxfId="85" priority="14" operator="greaterThan">
      <formula>640.330017089844</formula>
    </cfRule>
  </conditionalFormatting>
  <conditionalFormatting sqref="D14:AR14">
    <cfRule type="cellIs" dxfId="84" priority="11" operator="lessThan">
      <formula>724.299987792969</formula>
    </cfRule>
    <cfRule type="cellIs" dxfId="83" priority="12" operator="greaterThan">
      <formula>724.299987792969</formula>
    </cfRule>
  </conditionalFormatting>
  <conditionalFormatting sqref="D15:AR15">
    <cfRule type="cellIs" dxfId="82" priority="9" operator="lessThan">
      <formula>4933.39990234375</formula>
    </cfRule>
    <cfRule type="cellIs" dxfId="81" priority="10" operator="greaterThan">
      <formula>4933.39990234375</formula>
    </cfRule>
  </conditionalFormatting>
  <conditionalFormatting sqref="D16:AR16">
    <cfRule type="cellIs" dxfId="80" priority="7" operator="lessThan">
      <formula>1657.09997558594</formula>
    </cfRule>
    <cfRule type="cellIs" dxfId="79" priority="8" operator="greaterThan">
      <formula>1657.09997558594</formula>
    </cfRule>
  </conditionalFormatting>
  <conditionalFormatting sqref="D17:AR17">
    <cfRule type="cellIs" dxfId="78" priority="5" operator="lessThan">
      <formula>481.320007324219</formula>
    </cfRule>
    <cfRule type="cellIs" dxfId="77" priority="6" operator="greaterThan">
      <formula>481.320007324219</formula>
    </cfRule>
  </conditionalFormatting>
  <conditionalFormatting sqref="D18:AR18">
    <cfRule type="cellIs" dxfId="76" priority="3" operator="lessThan">
      <formula>709.940002441406</formula>
    </cfRule>
    <cfRule type="cellIs" dxfId="75" priority="4" operator="greaterThan">
      <formula>709.940002441406</formula>
    </cfRule>
  </conditionalFormatting>
  <conditionalFormatting sqref="D19:AR19">
    <cfRule type="cellIs" dxfId="74" priority="1" operator="lessThan">
      <formula>674.890014648437</formula>
    </cfRule>
    <cfRule type="cellIs" dxfId="73" priority="2" operator="greaterThan">
      <formula>674.890014648437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84587-FBBF-4E82-90CD-A6C97453F11B}">
  <dimension ref="A1:M42"/>
  <sheetViews>
    <sheetView workbookViewId="0">
      <selection sqref="A1:XFD1048576"/>
    </sheetView>
  </sheetViews>
  <sheetFormatPr defaultRowHeight="14.25" x14ac:dyDescent="0.2"/>
  <cols>
    <col min="1" max="1" width="13" style="9" bestFit="1" customWidth="1"/>
    <col min="2" max="2" width="14.75" style="9" bestFit="1" customWidth="1"/>
    <col min="3" max="3" width="12" style="9" bestFit="1" customWidth="1"/>
    <col min="4" max="4" width="9" style="9"/>
    <col min="5" max="5" width="9.875" style="9" bestFit="1" customWidth="1"/>
    <col min="6" max="6" width="23" style="9" bestFit="1" customWidth="1"/>
    <col min="7" max="7" width="15.125" style="9" bestFit="1" customWidth="1"/>
    <col min="8" max="11" width="9" style="9"/>
    <col min="12" max="12" width="15.25" style="9" bestFit="1" customWidth="1"/>
    <col min="13" max="13" width="10.625" style="9" bestFit="1" customWidth="1"/>
    <col min="14" max="16384" width="9" style="9"/>
  </cols>
  <sheetData>
    <row r="1" spans="1:13" ht="15" x14ac:dyDescent="0.25">
      <c r="A1" s="8" t="s">
        <v>494</v>
      </c>
      <c r="B1" s="8" t="s">
        <v>495</v>
      </c>
      <c r="C1" s="8" t="s">
        <v>496</v>
      </c>
      <c r="D1" s="8" t="s">
        <v>497</v>
      </c>
      <c r="E1" s="8" t="s">
        <v>498</v>
      </c>
      <c r="F1" s="8" t="s">
        <v>499</v>
      </c>
      <c r="G1" s="8" t="s">
        <v>500</v>
      </c>
      <c r="L1" s="10" t="s">
        <v>508</v>
      </c>
      <c r="M1" s="11" t="s">
        <v>0</v>
      </c>
    </row>
    <row r="2" spans="1:13" ht="12.95" customHeight="1" x14ac:dyDescent="0.25">
      <c r="A2" s="2" t="s">
        <v>501</v>
      </c>
      <c r="B2" s="12">
        <v>0.1</v>
      </c>
      <c r="C2" s="12">
        <v>523</v>
      </c>
      <c r="D2" s="12">
        <v>663.7</v>
      </c>
      <c r="E2" s="12">
        <v>1</v>
      </c>
      <c r="F2" s="13" t="str">
        <f>IF(ISNUMBER(SEARCH("LOW CCV",A2)),"N/A", IF(AND(D2&gt;0, B2&lt;&gt;0.1), (B2-50)/50, "N/A"))</f>
        <v>N/A</v>
      </c>
      <c r="G2" s="13">
        <f>IF(AND(D2&gt;0, B2&lt;&gt;0.1),(D2-532.0875)/532.0875,(C2-443.625)/443.625)</f>
        <v>0.17892364046210199</v>
      </c>
      <c r="L2" s="10" t="s">
        <v>509</v>
      </c>
      <c r="M2" s="11">
        <v>532.08749999999998</v>
      </c>
    </row>
    <row r="3" spans="1:13" ht="12.95" customHeight="1" x14ac:dyDescent="0.25">
      <c r="A3" s="2" t="s">
        <v>502</v>
      </c>
      <c r="B3" s="12">
        <v>0.1</v>
      </c>
      <c r="C3" s="12">
        <v>581.79999999999995</v>
      </c>
      <c r="D3" s="12">
        <v>0</v>
      </c>
      <c r="E3" s="12">
        <v>40</v>
      </c>
      <c r="F3" s="13" t="str">
        <f>IF(ISNUMBER(SEARCH("LOW CCV",A3)),"N/A", IF(AND(D3&gt;0, B3&lt;&gt;0.1), (B3-50)/50, "N/A"))</f>
        <v>N/A</v>
      </c>
      <c r="G3" s="13">
        <f>IF(AND(D3&gt;0, B3&lt;&gt;0.1),(D3-532.0875)/532.0875,(C3-443.625)/443.625)</f>
        <v>0.31146801916032674</v>
      </c>
      <c r="L3" s="10" t="s">
        <v>510</v>
      </c>
      <c r="M3" s="11">
        <v>443.625</v>
      </c>
    </row>
    <row r="4" spans="1:13" ht="12.95" customHeight="1" x14ac:dyDescent="0.2">
      <c r="A4" s="2" t="s">
        <v>503</v>
      </c>
      <c r="B4" s="12">
        <v>0.1</v>
      </c>
      <c r="C4" s="12">
        <v>619</v>
      </c>
      <c r="D4" s="12">
        <v>0</v>
      </c>
      <c r="E4" s="12">
        <v>40</v>
      </c>
      <c r="F4" s="13" t="str">
        <f>IF(ISNUMBER(SEARCH("LOW CCV",A4)),"N/A", IF(AND(D4&gt;0, B4&lt;&gt;0.1), (B4-50)/50, "N/A"))</f>
        <v>N/A</v>
      </c>
      <c r="G4" s="13">
        <f>IF(AND(D4&gt;0, B4&lt;&gt;0.1),(D4-532.0875)/532.0875,(C4-443.625)/443.625)</f>
        <v>0.39532262609185687</v>
      </c>
    </row>
    <row r="5" spans="1:13" ht="12.95" customHeight="1" x14ac:dyDescent="0.2">
      <c r="A5" s="2" t="s">
        <v>78</v>
      </c>
      <c r="B5" s="12">
        <v>0.1</v>
      </c>
      <c r="C5" s="12">
        <v>576.70000000000005</v>
      </c>
      <c r="D5" s="12">
        <v>0</v>
      </c>
      <c r="E5" s="12">
        <v>40</v>
      </c>
      <c r="F5" s="13" t="str">
        <f>IF(ISNUMBER(SEARCH("LOW CCV",A5)),"N/A", IF(AND(D5&gt;0, B5&lt;&gt;0.1), (B5-50)/50, "N/A"))</f>
        <v>N/A</v>
      </c>
      <c r="G5" s="13">
        <f>IF(AND(D5&gt;0, B5&lt;&gt;0.1),(D5-532.0875)/532.0875,(C5-443.625)/443.625)</f>
        <v>0.29997182304874626</v>
      </c>
    </row>
    <row r="6" spans="1:13" ht="12.95" customHeight="1" x14ac:dyDescent="0.2">
      <c r="A6" s="2" t="s">
        <v>79</v>
      </c>
      <c r="B6" s="12">
        <v>0.1</v>
      </c>
      <c r="C6" s="12">
        <v>556.70000000000005</v>
      </c>
      <c r="D6" s="12">
        <v>4.8949999999999996</v>
      </c>
      <c r="E6" s="12">
        <v>40</v>
      </c>
      <c r="F6" s="13" t="str">
        <f>IF(ISNUMBER(SEARCH("LOW CCV",A6)),"N/A", IF(AND(D6&gt;0, B6&lt;&gt;0.1), (B6-50)/50, "N/A"))</f>
        <v>N/A</v>
      </c>
      <c r="G6" s="13">
        <f>IF(AND(D6&gt;0, B6&lt;&gt;0.1),(D6-532.0875)/532.0875,(C6-443.625)/443.625)</f>
        <v>0.25488870104254729</v>
      </c>
    </row>
    <row r="7" spans="1:13" ht="12.95" customHeight="1" x14ac:dyDescent="0.2">
      <c r="A7" s="2" t="s">
        <v>80</v>
      </c>
      <c r="B7" s="12">
        <v>0.1</v>
      </c>
      <c r="C7" s="12">
        <v>627.70000000000005</v>
      </c>
      <c r="D7" s="12">
        <v>0</v>
      </c>
      <c r="E7" s="12">
        <v>40</v>
      </c>
      <c r="F7" s="13" t="str">
        <f>IF(ISNUMBER(SEARCH("LOW CCV",A7)),"N/A", IF(AND(D7&gt;0, B7&lt;&gt;0.1), (B7-50)/50, "N/A"))</f>
        <v>N/A</v>
      </c>
      <c r="G7" s="13">
        <f>IF(AND(D7&gt;0, B7&lt;&gt;0.1),(D7-532.0875)/532.0875,(C7-443.625)/443.625)</f>
        <v>0.41493378416455351</v>
      </c>
    </row>
    <row r="8" spans="1:13" ht="12.95" customHeight="1" x14ac:dyDescent="0.2">
      <c r="A8" s="2" t="s">
        <v>81</v>
      </c>
      <c r="B8" s="12">
        <v>0.1</v>
      </c>
      <c r="C8" s="12">
        <v>556</v>
      </c>
      <c r="D8" s="12">
        <v>0</v>
      </c>
      <c r="E8" s="12">
        <v>40</v>
      </c>
      <c r="F8" s="13" t="str">
        <f>IF(ISNUMBER(SEARCH("LOW CCV",A8)),"N/A", IF(AND(D8&gt;0, B8&lt;&gt;0.1), (B8-50)/50, "N/A"))</f>
        <v>N/A</v>
      </c>
      <c r="G8" s="13">
        <f>IF(AND(D8&gt;0, B8&lt;&gt;0.1),(D8-532.0875)/532.0875,(C8-443.625)/443.625)</f>
        <v>0.25331079177233023</v>
      </c>
    </row>
    <row r="9" spans="1:13" ht="12.95" customHeight="1" x14ac:dyDescent="0.2">
      <c r="A9" s="2" t="s">
        <v>82</v>
      </c>
      <c r="B9" s="12">
        <v>0.1</v>
      </c>
      <c r="C9" s="12">
        <v>619.4</v>
      </c>
      <c r="D9" s="12">
        <v>3.0819999999999999</v>
      </c>
      <c r="E9" s="12">
        <v>40</v>
      </c>
      <c r="F9" s="13" t="str">
        <f>IF(ISNUMBER(SEARCH("LOW CCV",A9)),"N/A", IF(AND(D9&gt;0, B9&lt;&gt;0.1), (B9-50)/50, "N/A"))</f>
        <v>N/A</v>
      </c>
      <c r="G9" s="13">
        <f>IF(AND(D9&gt;0, B9&lt;&gt;0.1),(D9-532.0875)/532.0875,(C9-443.625)/443.625)</f>
        <v>0.39622428853198077</v>
      </c>
    </row>
    <row r="10" spans="1:13" ht="12.95" customHeight="1" x14ac:dyDescent="0.2">
      <c r="A10" s="2" t="s">
        <v>83</v>
      </c>
      <c r="B10" s="12">
        <v>0.1</v>
      </c>
      <c r="C10" s="12">
        <v>575.29999999999995</v>
      </c>
      <c r="D10" s="12">
        <v>0</v>
      </c>
      <c r="E10" s="12">
        <v>40</v>
      </c>
      <c r="F10" s="13" t="str">
        <f>IF(ISNUMBER(SEARCH("LOW CCV",A10)),"N/A", IF(AND(D10&gt;0, B10&lt;&gt;0.1), (B10-50)/50, "N/A"))</f>
        <v>N/A</v>
      </c>
      <c r="G10" s="13">
        <f>IF(AND(D10&gt;0, B10&lt;&gt;0.1),(D10-532.0875)/532.0875,(C10-443.625)/443.625)</f>
        <v>0.29681600450831208</v>
      </c>
    </row>
    <row r="11" spans="1:13" ht="12.95" customHeight="1" x14ac:dyDescent="0.2">
      <c r="A11" s="2" t="s">
        <v>84</v>
      </c>
      <c r="B11" s="12">
        <v>0.1</v>
      </c>
      <c r="C11" s="12">
        <v>560.29999999999995</v>
      </c>
      <c r="D11" s="12">
        <v>2.879</v>
      </c>
      <c r="E11" s="12">
        <v>40</v>
      </c>
      <c r="F11" s="13" t="str">
        <f>IF(ISNUMBER(SEARCH("LOW CCV",A11)),"N/A", IF(AND(D11&gt;0, B11&lt;&gt;0.1), (B11-50)/50, "N/A"))</f>
        <v>N/A</v>
      </c>
      <c r="G11" s="13">
        <f>IF(AND(D11&gt;0, B11&lt;&gt;0.1),(D11-532.0875)/532.0875,(C11-443.625)/443.625)</f>
        <v>0.2630036630036629</v>
      </c>
    </row>
    <row r="12" spans="1:13" ht="12.95" customHeight="1" x14ac:dyDescent="0.2">
      <c r="A12" s="2" t="s">
        <v>85</v>
      </c>
      <c r="B12" s="12">
        <v>0.1</v>
      </c>
      <c r="C12" s="12">
        <v>579.70000000000005</v>
      </c>
      <c r="D12" s="12">
        <v>0</v>
      </c>
      <c r="E12" s="12">
        <v>40</v>
      </c>
      <c r="F12" s="13" t="str">
        <f>IF(ISNUMBER(SEARCH("LOW CCV",A12)),"N/A", IF(AND(D12&gt;0, B12&lt;&gt;0.1), (B12-50)/50, "N/A"))</f>
        <v>N/A</v>
      </c>
      <c r="G12" s="13">
        <f>IF(AND(D12&gt;0, B12&lt;&gt;0.1),(D12-532.0875)/532.0875,(C12-443.625)/443.625)</f>
        <v>0.30673429134967606</v>
      </c>
    </row>
    <row r="13" spans="1:13" ht="12.95" customHeight="1" x14ac:dyDescent="0.2">
      <c r="A13" s="2" t="s">
        <v>86</v>
      </c>
      <c r="B13" s="12">
        <v>0.1</v>
      </c>
      <c r="C13" s="12">
        <v>581.4</v>
      </c>
      <c r="D13" s="12">
        <v>0</v>
      </c>
      <c r="E13" s="12">
        <v>40</v>
      </c>
      <c r="F13" s="13" t="str">
        <f>IF(ISNUMBER(SEARCH("LOW CCV",A13)),"N/A", IF(AND(D13&gt;0, B13&lt;&gt;0.1), (B13-50)/50, "N/A"))</f>
        <v>N/A</v>
      </c>
      <c r="G13" s="13">
        <f>IF(AND(D13&gt;0, B13&lt;&gt;0.1),(D13-532.0875)/532.0875,(C13-443.625)/443.625)</f>
        <v>0.31056635672020283</v>
      </c>
    </row>
    <row r="14" spans="1:13" ht="12.95" customHeight="1" x14ac:dyDescent="0.2">
      <c r="A14" s="2" t="s">
        <v>87</v>
      </c>
      <c r="B14" s="12">
        <v>0.1</v>
      </c>
      <c r="C14" s="12">
        <v>591.29999999999995</v>
      </c>
      <c r="D14" s="12">
        <v>0</v>
      </c>
      <c r="E14" s="12">
        <v>40</v>
      </c>
      <c r="F14" s="13" t="str">
        <f>IF(ISNUMBER(SEARCH("LOW CCV",A14)),"N/A", IF(AND(D14&gt;0, B14&lt;&gt;0.1), (B14-50)/50, "N/A"))</f>
        <v>N/A</v>
      </c>
      <c r="G14" s="13">
        <f>IF(AND(D14&gt;0, B14&lt;&gt;0.1),(D14-532.0875)/532.0875,(C14-443.625)/443.625)</f>
        <v>0.33288250211327125</v>
      </c>
    </row>
    <row r="15" spans="1:13" ht="12.95" customHeight="1" x14ac:dyDescent="0.2">
      <c r="A15" s="2" t="s">
        <v>501</v>
      </c>
      <c r="B15" s="12">
        <v>0.1</v>
      </c>
      <c r="C15" s="12">
        <v>461.8</v>
      </c>
      <c r="D15" s="12">
        <v>600</v>
      </c>
      <c r="E15" s="12">
        <v>1</v>
      </c>
      <c r="F15" s="13" t="str">
        <f>IF(ISNUMBER(SEARCH("LOW CCV",A15)),"N/A", IF(AND(D15&gt;0, B15&lt;&gt;0.1), (B15-50)/50, "N/A"))</f>
        <v>N/A</v>
      </c>
      <c r="G15" s="13">
        <f>IF(AND(D15&gt;0, B15&lt;&gt;0.1),(D15-532.0875)/532.0875,(C15-443.625)/443.625)</f>
        <v>4.0969287123133302E-2</v>
      </c>
    </row>
    <row r="16" spans="1:13" ht="12.95" customHeight="1" x14ac:dyDescent="0.2">
      <c r="A16" s="2" t="s">
        <v>88</v>
      </c>
      <c r="B16" s="12">
        <v>0.1</v>
      </c>
      <c r="C16" s="12">
        <v>565.1</v>
      </c>
      <c r="D16" s="12">
        <v>0</v>
      </c>
      <c r="E16" s="12">
        <v>40</v>
      </c>
      <c r="F16" s="13" t="str">
        <f>IF(ISNUMBER(SEARCH("LOW CCV",A16)),"N/A", IF(AND(D16&gt;0, B16&lt;&gt;0.1), (B16-50)/50, "N/A"))</f>
        <v>N/A</v>
      </c>
      <c r="G16" s="13">
        <f>IF(AND(D16&gt;0, B16&lt;&gt;0.1),(D16-532.0875)/532.0875,(C16-443.625)/443.625)</f>
        <v>0.27382361228515079</v>
      </c>
    </row>
    <row r="17" spans="1:7" ht="12.95" customHeight="1" x14ac:dyDescent="0.2">
      <c r="A17" s="2" t="s">
        <v>89</v>
      </c>
      <c r="B17" s="12">
        <v>0.1</v>
      </c>
      <c r="C17" s="12">
        <v>585.5</v>
      </c>
      <c r="D17" s="12">
        <v>0</v>
      </c>
      <c r="E17" s="12">
        <v>40</v>
      </c>
      <c r="F17" s="13" t="str">
        <f>IF(ISNUMBER(SEARCH("LOW CCV",A17)),"N/A", IF(AND(D17&gt;0, B17&lt;&gt;0.1), (B17-50)/50, "N/A"))</f>
        <v>N/A</v>
      </c>
      <c r="G17" s="13">
        <f>IF(AND(D17&gt;0, B17&lt;&gt;0.1),(D17-532.0875)/532.0875,(C17-443.625)/443.625)</f>
        <v>0.31980839673147365</v>
      </c>
    </row>
    <row r="18" spans="1:7" ht="12.95" customHeight="1" x14ac:dyDescent="0.2">
      <c r="A18" s="2" t="s">
        <v>90</v>
      </c>
      <c r="B18" s="12">
        <v>0.1</v>
      </c>
      <c r="C18" s="12">
        <v>648</v>
      </c>
      <c r="D18" s="12">
        <v>0</v>
      </c>
      <c r="E18" s="12">
        <v>40</v>
      </c>
      <c r="F18" s="13" t="str">
        <f>IF(ISNUMBER(SEARCH("LOW CCV",A18)),"N/A", IF(AND(D18&gt;0, B18&lt;&gt;0.1), (B18-50)/50, "N/A"))</f>
        <v>N/A</v>
      </c>
      <c r="G18" s="13">
        <f>IF(AND(D18&gt;0, B18&lt;&gt;0.1),(D18-532.0875)/532.0875,(C18-443.625)/443.625)</f>
        <v>0.46069315300084529</v>
      </c>
    </row>
    <row r="19" spans="1:7" ht="12.95" customHeight="1" x14ac:dyDescent="0.2">
      <c r="A19" s="2" t="s">
        <v>91</v>
      </c>
      <c r="B19" s="12">
        <v>0.1</v>
      </c>
      <c r="C19" s="12">
        <v>596.5</v>
      </c>
      <c r="D19" s="12">
        <v>0</v>
      </c>
      <c r="E19" s="12">
        <v>40</v>
      </c>
      <c r="F19" s="13" t="str">
        <f>IF(ISNUMBER(SEARCH("LOW CCV",A19)),"N/A", IF(AND(D19&gt;0, B19&lt;&gt;0.1), (B19-50)/50, "N/A"))</f>
        <v>N/A</v>
      </c>
      <c r="G19" s="13">
        <f>IF(AND(D19&gt;0, B19&lt;&gt;0.1),(D19-532.0875)/532.0875,(C19-443.625)/443.625)</f>
        <v>0.34460411383488304</v>
      </c>
    </row>
    <row r="20" spans="1:7" ht="12.95" customHeight="1" x14ac:dyDescent="0.2">
      <c r="A20" s="2" t="s">
        <v>92</v>
      </c>
      <c r="B20" s="12">
        <v>0.1</v>
      </c>
      <c r="C20" s="12">
        <v>614.20000000000005</v>
      </c>
      <c r="D20" s="12">
        <v>0</v>
      </c>
      <c r="E20" s="12">
        <v>40</v>
      </c>
      <c r="F20" s="13" t="str">
        <f>IF(ISNUMBER(SEARCH("LOW CCV",A20)),"N/A", IF(AND(D20&gt;0, B20&lt;&gt;0.1), (B20-50)/50, "N/A"))</f>
        <v>N/A</v>
      </c>
      <c r="G20" s="13">
        <f>IF(AND(D20&gt;0, B20&lt;&gt;0.1),(D20-532.0875)/532.0875,(C20-443.625)/443.625)</f>
        <v>0.3845026768103692</v>
      </c>
    </row>
    <row r="21" spans="1:7" ht="12.95" customHeight="1" x14ac:dyDescent="0.2">
      <c r="A21" s="2" t="s">
        <v>93</v>
      </c>
      <c r="B21" s="12">
        <v>0.1</v>
      </c>
      <c r="C21" s="12">
        <v>601</v>
      </c>
      <c r="D21" s="12">
        <v>0</v>
      </c>
      <c r="E21" s="12">
        <v>40</v>
      </c>
      <c r="F21" s="13" t="str">
        <f>IF(ISNUMBER(SEARCH("LOW CCV",A21)),"N/A", IF(AND(D21&gt;0, B21&lt;&gt;0.1), (B21-50)/50, "N/A"))</f>
        <v>N/A</v>
      </c>
      <c r="G21" s="13">
        <f>IF(AND(D21&gt;0, B21&lt;&gt;0.1),(D21-532.0875)/532.0875,(C21-443.625)/443.625)</f>
        <v>0.35474781628627783</v>
      </c>
    </row>
    <row r="22" spans="1:7" ht="12.95" customHeight="1" x14ac:dyDescent="0.2">
      <c r="A22" s="2" t="s">
        <v>94</v>
      </c>
      <c r="B22" s="12">
        <v>0.1</v>
      </c>
      <c r="C22" s="12">
        <v>624.5</v>
      </c>
      <c r="D22" s="12">
        <v>0</v>
      </c>
      <c r="E22" s="12">
        <v>40</v>
      </c>
      <c r="F22" s="13" t="str">
        <f>IF(ISNUMBER(SEARCH("LOW CCV",A22)),"N/A", IF(AND(D22&gt;0, B22&lt;&gt;0.1), (B22-50)/50, "N/A"))</f>
        <v>N/A</v>
      </c>
      <c r="G22" s="13">
        <f>IF(AND(D22&gt;0, B22&lt;&gt;0.1),(D22-532.0875)/532.0875,(C22-443.625)/443.625)</f>
        <v>0.40772048464356159</v>
      </c>
    </row>
    <row r="23" spans="1:7" ht="12.95" customHeight="1" x14ac:dyDescent="0.2">
      <c r="A23" s="2" t="s">
        <v>95</v>
      </c>
      <c r="B23" s="12">
        <v>0.1</v>
      </c>
      <c r="C23" s="12">
        <v>565.4</v>
      </c>
      <c r="D23" s="12">
        <v>0</v>
      </c>
      <c r="E23" s="12">
        <v>40</v>
      </c>
      <c r="F23" s="13" t="str">
        <f>IF(ISNUMBER(SEARCH("LOW CCV",A23)),"N/A", IF(AND(D23&gt;0, B23&lt;&gt;0.1), (B23-50)/50, "N/A"))</f>
        <v>N/A</v>
      </c>
      <c r="G23" s="13">
        <f>IF(AND(D23&gt;0, B23&lt;&gt;0.1),(D23-532.0875)/532.0875,(C23-443.625)/443.625)</f>
        <v>0.27449985911524366</v>
      </c>
    </row>
    <row r="24" spans="1:7" ht="12.95" customHeight="1" x14ac:dyDescent="0.2">
      <c r="A24" s="2" t="s">
        <v>501</v>
      </c>
      <c r="B24" s="12">
        <v>0.1</v>
      </c>
      <c r="C24" s="12">
        <v>454.1</v>
      </c>
      <c r="D24" s="12">
        <v>595.9</v>
      </c>
      <c r="E24" s="12">
        <v>1</v>
      </c>
      <c r="F24" s="13" t="str">
        <f>IF(ISNUMBER(SEARCH("LOW CCV",A24)),"N/A", IF(AND(D24&gt;0, B24&lt;&gt;0.1), (B24-50)/50, "N/A"))</f>
        <v>N/A</v>
      </c>
      <c r="G24" s="13">
        <f>IF(AND(D24&gt;0, B24&lt;&gt;0.1),(D24-532.0875)/532.0875,(C24-443.625)/443.625)</f>
        <v>2.3612285150746742E-2</v>
      </c>
    </row>
    <row r="25" spans="1:7" ht="12.95" customHeight="1" x14ac:dyDescent="0.2">
      <c r="A25" s="2" t="s">
        <v>504</v>
      </c>
      <c r="B25" s="12">
        <v>0.1</v>
      </c>
      <c r="C25" s="12">
        <v>571.70000000000005</v>
      </c>
      <c r="D25" s="12">
        <v>0</v>
      </c>
      <c r="E25" s="12">
        <v>10</v>
      </c>
      <c r="F25" s="13" t="str">
        <f>IF(ISNUMBER(SEARCH("LOW CCV",A25)),"N/A", IF(AND(D25&gt;0, B25&lt;&gt;0.1), (B25-50)/50, "N/A"))</f>
        <v>N/A</v>
      </c>
      <c r="G25" s="13">
        <f>IF(AND(D25&gt;0, B25&lt;&gt;0.1),(D25-532.0875)/532.0875,(C25-443.625)/443.625)</f>
        <v>0.28870104254719647</v>
      </c>
    </row>
    <row r="26" spans="1:7" ht="12.95" customHeight="1" x14ac:dyDescent="0.2">
      <c r="A26" s="2" t="s">
        <v>505</v>
      </c>
      <c r="B26" s="12">
        <v>0.1</v>
      </c>
      <c r="C26" s="12">
        <v>527.9</v>
      </c>
      <c r="D26" s="12">
        <v>0</v>
      </c>
      <c r="E26" s="12">
        <v>10</v>
      </c>
      <c r="F26" s="13" t="str">
        <f>IF(ISNUMBER(SEARCH("LOW CCV",A26)),"N/A", IF(AND(D26&gt;0, B26&lt;&gt;0.1), (B26-50)/50, "N/A"))</f>
        <v>N/A</v>
      </c>
      <c r="G26" s="13">
        <f>IF(AND(D26&gt;0, B26&lt;&gt;0.1),(D26-532.0875)/532.0875,(C26-443.625)/443.625)</f>
        <v>0.18996900535362068</v>
      </c>
    </row>
    <row r="27" spans="1:7" ht="12.95" customHeight="1" x14ac:dyDescent="0.2">
      <c r="A27" s="2" t="s">
        <v>98</v>
      </c>
      <c r="B27" s="12">
        <v>0.1</v>
      </c>
      <c r="C27" s="12">
        <v>534.29999999999995</v>
      </c>
      <c r="D27" s="12">
        <v>0</v>
      </c>
      <c r="E27" s="12">
        <v>10</v>
      </c>
      <c r="F27" s="13" t="str">
        <f>IF(ISNUMBER(SEARCH("LOW CCV",A27)),"N/A", IF(AND(D27&gt;0, B27&lt;&gt;0.1), (B27-50)/50, "N/A"))</f>
        <v>N/A</v>
      </c>
      <c r="G27" s="13">
        <f>IF(AND(D27&gt;0, B27&lt;&gt;0.1),(D27-532.0875)/532.0875,(C27-443.625)/443.625)</f>
        <v>0.20439560439560428</v>
      </c>
    </row>
    <row r="28" spans="1:7" ht="12.95" customHeight="1" x14ac:dyDescent="0.2">
      <c r="A28" s="2" t="s">
        <v>99</v>
      </c>
      <c r="B28" s="12">
        <v>0.1</v>
      </c>
      <c r="C28" s="12">
        <v>541.20000000000005</v>
      </c>
      <c r="D28" s="12">
        <v>0</v>
      </c>
      <c r="E28" s="12">
        <v>10</v>
      </c>
      <c r="F28" s="13" t="str">
        <f>IF(ISNUMBER(SEARCH("LOW CCV",A28)),"N/A", IF(AND(D28&gt;0, B28&lt;&gt;0.1), (B28-50)/50, "N/A"))</f>
        <v>N/A</v>
      </c>
      <c r="G28" s="13">
        <f>IF(AND(D28&gt;0, B28&lt;&gt;0.1),(D28-532.0875)/532.0875,(C28-443.625)/443.625)</f>
        <v>0.21994928148774312</v>
      </c>
    </row>
    <row r="29" spans="1:7" ht="12.95" customHeight="1" x14ac:dyDescent="0.2">
      <c r="A29" s="2" t="s">
        <v>100</v>
      </c>
      <c r="B29" s="12">
        <v>0.1</v>
      </c>
      <c r="C29" s="12">
        <v>559.4</v>
      </c>
      <c r="D29" s="12">
        <v>0</v>
      </c>
      <c r="E29" s="12">
        <v>10</v>
      </c>
      <c r="F29" s="13" t="str">
        <f>IF(ISNUMBER(SEARCH("LOW CCV",A29)),"N/A", IF(AND(D29&gt;0, B29&lt;&gt;0.1), (B29-50)/50, "N/A"))</f>
        <v>N/A</v>
      </c>
      <c r="G29" s="13">
        <f>IF(AND(D29&gt;0, B29&lt;&gt;0.1),(D29-532.0875)/532.0875,(C29-443.625)/443.625)</f>
        <v>0.260974922513384</v>
      </c>
    </row>
    <row r="30" spans="1:7" ht="12.95" customHeight="1" x14ac:dyDescent="0.2">
      <c r="A30" s="2" t="s">
        <v>101</v>
      </c>
      <c r="B30" s="12">
        <v>0.1</v>
      </c>
      <c r="C30" s="12">
        <v>567.6</v>
      </c>
      <c r="D30" s="12">
        <v>0</v>
      </c>
      <c r="E30" s="12">
        <v>10</v>
      </c>
      <c r="F30" s="13" t="str">
        <f>IF(ISNUMBER(SEARCH("LOW CCV",A30)),"N/A", IF(AND(D30&gt;0, B30&lt;&gt;0.1), (B30-50)/50, "N/A"))</f>
        <v>N/A</v>
      </c>
      <c r="G30" s="13">
        <f>IF(AND(D30&gt;0, B30&lt;&gt;0.1),(D30-532.0875)/532.0875,(C30-443.625)/443.625)</f>
        <v>0.27945900253592565</v>
      </c>
    </row>
    <row r="31" spans="1:7" ht="12.95" customHeight="1" x14ac:dyDescent="0.2">
      <c r="A31" s="2" t="s">
        <v>102</v>
      </c>
      <c r="B31" s="12">
        <v>0.1</v>
      </c>
      <c r="C31" s="12">
        <v>526.4</v>
      </c>
      <c r="D31" s="12">
        <v>0</v>
      </c>
      <c r="E31" s="12">
        <v>10</v>
      </c>
      <c r="F31" s="13" t="str">
        <f>IF(ISNUMBER(SEARCH("LOW CCV",A31)),"N/A", IF(AND(D31&gt;0, B31&lt;&gt;0.1), (B31-50)/50, "N/A"))</f>
        <v>N/A</v>
      </c>
      <c r="G31" s="13">
        <f>IF(AND(D31&gt;0, B31&lt;&gt;0.1),(D31-532.0875)/532.0875,(C31-443.625)/443.625)</f>
        <v>0.18658777120315576</v>
      </c>
    </row>
    <row r="32" spans="1:7" ht="12.95" customHeight="1" x14ac:dyDescent="0.2">
      <c r="A32" s="2" t="s">
        <v>103</v>
      </c>
      <c r="B32" s="12">
        <v>0.1</v>
      </c>
      <c r="C32" s="12">
        <v>526</v>
      </c>
      <c r="D32" s="12">
        <v>0</v>
      </c>
      <c r="E32" s="12">
        <v>10</v>
      </c>
      <c r="F32" s="13" t="str">
        <f>IF(ISNUMBER(SEARCH("LOW CCV",A32)),"N/A", IF(AND(D32&gt;0, B32&lt;&gt;0.1), (B32-50)/50, "N/A"))</f>
        <v>N/A</v>
      </c>
      <c r="G32" s="13">
        <f>IF(AND(D32&gt;0, B32&lt;&gt;0.1),(D32-532.0875)/532.0875,(C32-443.625)/443.625)</f>
        <v>0.18568610876303185</v>
      </c>
    </row>
    <row r="33" spans="1:7" ht="12.95" customHeight="1" x14ac:dyDescent="0.2">
      <c r="A33" s="2" t="s">
        <v>104</v>
      </c>
      <c r="B33" s="12">
        <v>0.1</v>
      </c>
      <c r="C33" s="12">
        <v>526.4</v>
      </c>
      <c r="D33" s="12">
        <v>8.718</v>
      </c>
      <c r="E33" s="12">
        <v>10</v>
      </c>
      <c r="F33" s="13" t="str">
        <f>IF(ISNUMBER(SEARCH("LOW CCV",A33)),"N/A", IF(AND(D33&gt;0, B33&lt;&gt;0.1), (B33-50)/50, "N/A"))</f>
        <v>N/A</v>
      </c>
      <c r="G33" s="13">
        <f>IF(AND(D33&gt;0, B33&lt;&gt;0.1),(D33-532.0875)/532.0875,(C33-443.625)/443.625)</f>
        <v>0.18658777120315576</v>
      </c>
    </row>
    <row r="34" spans="1:7" ht="12.95" customHeight="1" x14ac:dyDescent="0.2">
      <c r="A34" s="2" t="s">
        <v>105</v>
      </c>
      <c r="B34" s="12">
        <v>0.1</v>
      </c>
      <c r="C34" s="12">
        <v>547.5</v>
      </c>
      <c r="D34" s="12">
        <v>0</v>
      </c>
      <c r="E34" s="12">
        <v>10</v>
      </c>
      <c r="F34" s="13" t="str">
        <f>IF(ISNUMBER(SEARCH("LOW CCV",A34)),"N/A", IF(AND(D34&gt;0, B34&lt;&gt;0.1), (B34-50)/50, "N/A"))</f>
        <v>N/A</v>
      </c>
      <c r="G34" s="13">
        <f>IF(AND(D34&gt;0, B34&lt;&gt;0.1),(D34-532.0875)/532.0875,(C34-443.625)/443.625)</f>
        <v>0.23415046491969568</v>
      </c>
    </row>
    <row r="35" spans="1:7" ht="12.95" customHeight="1" x14ac:dyDescent="0.2">
      <c r="A35" s="2" t="s">
        <v>501</v>
      </c>
      <c r="B35" s="12">
        <v>0.1</v>
      </c>
      <c r="C35" s="12">
        <v>453.4</v>
      </c>
      <c r="D35" s="12">
        <v>596.4</v>
      </c>
      <c r="E35" s="12">
        <v>1</v>
      </c>
      <c r="F35" s="13" t="str">
        <f>IF(ISNUMBER(SEARCH("LOW CCV",A35)),"N/A", IF(AND(D35&gt;0, B35&lt;&gt;0.1), (B35-50)/50, "N/A"))</f>
        <v>N/A</v>
      </c>
      <c r="G35" s="13">
        <f>IF(AND(D35&gt;0, B35&lt;&gt;0.1),(D35-532.0875)/532.0875,(C35-443.625)/443.625)</f>
        <v>2.2034375880529675E-2</v>
      </c>
    </row>
    <row r="36" spans="1:7" ht="12.95" customHeight="1" x14ac:dyDescent="0.2">
      <c r="A36" s="2" t="s">
        <v>506</v>
      </c>
      <c r="B36" s="12">
        <v>0.1</v>
      </c>
      <c r="C36" s="12">
        <v>562.4</v>
      </c>
      <c r="D36" s="12">
        <v>0</v>
      </c>
      <c r="E36" s="12">
        <v>40</v>
      </c>
      <c r="F36" s="13" t="str">
        <f>IF(ISNUMBER(SEARCH("LOW CCV",A36)),"N/A", IF(AND(D36&gt;0, B36&lt;&gt;0.1), (B36-50)/50, "N/A"))</f>
        <v>N/A</v>
      </c>
      <c r="G36" s="13">
        <f>IF(AND(D36&gt;0, B36&lt;&gt;0.1),(D36-532.0875)/532.0875,(C36-443.625)/443.625)</f>
        <v>0.26773739081431386</v>
      </c>
    </row>
    <row r="37" spans="1:7" ht="12.95" customHeight="1" x14ac:dyDescent="0.2">
      <c r="A37" s="2" t="s">
        <v>507</v>
      </c>
      <c r="B37" s="12">
        <v>0.1</v>
      </c>
      <c r="C37" s="12">
        <v>585.29999999999995</v>
      </c>
      <c r="D37" s="12">
        <v>0</v>
      </c>
      <c r="E37" s="12">
        <v>40</v>
      </c>
      <c r="F37" s="13" t="str">
        <f>IF(ISNUMBER(SEARCH("LOW CCV",A37)),"N/A", IF(AND(D37&gt;0, B37&lt;&gt;0.1), (B37-50)/50, "N/A"))</f>
        <v>N/A</v>
      </c>
      <c r="G37" s="13">
        <f>IF(AND(D37&gt;0, B37&lt;&gt;0.1),(D37-532.0875)/532.0875,(C37-443.625)/443.625)</f>
        <v>0.31935756551141159</v>
      </c>
    </row>
    <row r="38" spans="1:7" ht="12.95" customHeight="1" x14ac:dyDescent="0.2">
      <c r="A38" s="2" t="s">
        <v>108</v>
      </c>
      <c r="B38" s="12">
        <v>0.1</v>
      </c>
      <c r="C38" s="12">
        <v>572</v>
      </c>
      <c r="D38" s="12">
        <v>0</v>
      </c>
      <c r="E38" s="12">
        <v>40</v>
      </c>
      <c r="F38" s="13" t="str">
        <f>IF(ISNUMBER(SEARCH("LOW CCV",A38)),"N/A", IF(AND(D38&gt;0, B38&lt;&gt;0.1), (B38-50)/50, "N/A"))</f>
        <v>N/A</v>
      </c>
      <c r="G38" s="13">
        <f>IF(AND(D38&gt;0, B38&lt;&gt;0.1),(D38-532.0875)/532.0875,(C38-443.625)/443.625)</f>
        <v>0.2893772893772894</v>
      </c>
    </row>
    <row r="39" spans="1:7" ht="12.95" customHeight="1" x14ac:dyDescent="0.2">
      <c r="A39" s="2" t="s">
        <v>109</v>
      </c>
      <c r="B39" s="12">
        <v>0.1</v>
      </c>
      <c r="C39" s="12">
        <v>574</v>
      </c>
      <c r="D39" s="12">
        <v>0</v>
      </c>
      <c r="E39" s="12">
        <v>40</v>
      </c>
      <c r="F39" s="13" t="str">
        <f>IF(ISNUMBER(SEARCH("LOW CCV",A39)),"N/A", IF(AND(D39&gt;0, B39&lt;&gt;0.1), (B39-50)/50, "N/A"))</f>
        <v>N/A</v>
      </c>
      <c r="G39" s="13">
        <f>IF(AND(D39&gt;0, B39&lt;&gt;0.1),(D39-532.0875)/532.0875,(C39-443.625)/443.625)</f>
        <v>0.29388560157790927</v>
      </c>
    </row>
    <row r="40" spans="1:7" ht="12.95" customHeight="1" x14ac:dyDescent="0.2">
      <c r="A40" s="2" t="s">
        <v>110</v>
      </c>
      <c r="B40" s="12">
        <v>0.1</v>
      </c>
      <c r="C40" s="12">
        <v>570.79999999999995</v>
      </c>
      <c r="D40" s="12">
        <v>0</v>
      </c>
      <c r="E40" s="12">
        <v>40</v>
      </c>
      <c r="F40" s="13" t="str">
        <f>IF(ISNUMBER(SEARCH("LOW CCV",A40)),"N/A", IF(AND(D40&gt;0, B40&lt;&gt;0.1), (B40-50)/50, "N/A"))</f>
        <v>N/A</v>
      </c>
      <c r="G40" s="13">
        <f>IF(AND(D40&gt;0, B40&lt;&gt;0.1),(D40-532.0875)/532.0875,(C40-443.625)/443.625)</f>
        <v>0.28667230205691735</v>
      </c>
    </row>
    <row r="41" spans="1:7" ht="12.95" customHeight="1" x14ac:dyDescent="0.2">
      <c r="A41" s="2" t="s">
        <v>111</v>
      </c>
      <c r="B41" s="12">
        <v>0.1</v>
      </c>
      <c r="C41" s="12">
        <v>600.6</v>
      </c>
      <c r="D41" s="12">
        <v>0</v>
      </c>
      <c r="E41" s="12">
        <v>40</v>
      </c>
      <c r="F41" s="13" t="str">
        <f>IF(ISNUMBER(SEARCH("LOW CCV",A41)),"N/A", IF(AND(D41&gt;0, B41&lt;&gt;0.1), (B41-50)/50, "N/A"))</f>
        <v>N/A</v>
      </c>
      <c r="G41" s="13">
        <f>IF(AND(D41&gt;0, B41&lt;&gt;0.1),(D41-532.0875)/532.0875,(C41-443.625)/443.625)</f>
        <v>0.35384615384615392</v>
      </c>
    </row>
    <row r="42" spans="1:7" ht="12.95" customHeight="1" x14ac:dyDescent="0.2">
      <c r="A42" s="2" t="s">
        <v>501</v>
      </c>
      <c r="B42" s="12">
        <v>0.1</v>
      </c>
      <c r="C42" s="12">
        <v>452.6</v>
      </c>
      <c r="D42" s="12">
        <v>596.70000000000005</v>
      </c>
      <c r="E42" s="12">
        <v>1</v>
      </c>
      <c r="F42" s="13" t="str">
        <f>IF(ISNUMBER(SEARCH("LOW CCV",A42)),"N/A", IF(AND(D42&gt;0, B42&lt;&gt;0.1), (B42-50)/50, "N/A"))</f>
        <v>N/A</v>
      </c>
      <c r="G42" s="13">
        <f>IF(AND(D42&gt;0, B42&lt;&gt;0.1),(D42-532.0875)/532.0875,(C42-443.625)/443.625)</f>
        <v>2.023105100028182E-2</v>
      </c>
    </row>
  </sheetData>
  <conditionalFormatting sqref="F2:G42">
    <cfRule type="cellIs" dxfId="72" priority="1" operator="between">
      <formula>-0.05</formula>
      <formula>0.05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E4B-D89A-4DBF-B60C-F5C13CD22C43}">
  <dimension ref="A1:F20"/>
  <sheetViews>
    <sheetView workbookViewId="0">
      <selection activeCell="G1" sqref="G1"/>
    </sheetView>
  </sheetViews>
  <sheetFormatPr defaultRowHeight="14.25" x14ac:dyDescent="0.2"/>
  <sheetData>
    <row r="1" spans="1:6" ht="33.75" x14ac:dyDescent="0.2">
      <c r="A1" s="4" t="s">
        <v>76</v>
      </c>
      <c r="B1">
        <v>10.5</v>
      </c>
      <c r="C1" s="4" t="s">
        <v>96</v>
      </c>
      <c r="D1">
        <v>21.6</v>
      </c>
      <c r="E1" s="4" t="s">
        <v>106</v>
      </c>
      <c r="F1">
        <v>10.199999999999999</v>
      </c>
    </row>
    <row r="2" spans="1:6" x14ac:dyDescent="0.2">
      <c r="A2" s="1" t="s">
        <v>132</v>
      </c>
      <c r="C2" s="1" t="s">
        <v>135</v>
      </c>
      <c r="E2" s="1" t="s">
        <v>137</v>
      </c>
    </row>
    <row r="3" spans="1:6" x14ac:dyDescent="0.2">
      <c r="A3" s="1">
        <v>0</v>
      </c>
      <c r="C3" s="1">
        <v>7.7314814814814802E-4</v>
      </c>
      <c r="E3" s="1">
        <v>0</v>
      </c>
    </row>
    <row r="4" spans="1:6" x14ac:dyDescent="0.2">
      <c r="A4" s="1">
        <v>2.9085714285714288E-2</v>
      </c>
      <c r="B4" s="7">
        <f>A4/3.2018*100</f>
        <v>0.90841758653614491</v>
      </c>
      <c r="C4" s="1">
        <v>2.5578703703703701E-2</v>
      </c>
      <c r="D4" s="7">
        <f>C4/3.2018*100</f>
        <v>0.79888511786194338</v>
      </c>
      <c r="E4" s="1">
        <v>2.9019607843137254E-2</v>
      </c>
      <c r="F4" s="7">
        <f>E4/3.2018*100</f>
        <v>0.90635292157965064</v>
      </c>
    </row>
    <row r="5" spans="1:6" x14ac:dyDescent="0.2">
      <c r="A5" s="1">
        <v>1.1504761904761905E-3</v>
      </c>
      <c r="C5" s="1">
        <v>6.648148148148147E-4</v>
      </c>
      <c r="E5" s="1">
        <v>1.1549019607843139E-3</v>
      </c>
    </row>
    <row r="6" spans="1:6" x14ac:dyDescent="0.2">
      <c r="A6" s="1">
        <v>1.5685714285714285E-3</v>
      </c>
      <c r="C6" s="1">
        <v>1.1773148148148148E-3</v>
      </c>
      <c r="E6" s="1">
        <v>1.6215686274509804E-3</v>
      </c>
    </row>
    <row r="7" spans="1:6" x14ac:dyDescent="0.2">
      <c r="A7" s="1">
        <v>3.8257142857142858E-2</v>
      </c>
      <c r="B7" s="7">
        <f>A7/4.0713*100</f>
        <v>0.93967879687428724</v>
      </c>
      <c r="C7" s="1">
        <v>3.7731481481481477E-2</v>
      </c>
      <c r="D7" s="7">
        <f>C7/4.0713*100</f>
        <v>0.92676740798962198</v>
      </c>
      <c r="E7" s="1">
        <v>3.7460784313725494E-2</v>
      </c>
      <c r="F7" s="7">
        <f>E7/4.0713*100</f>
        <v>0.92011849565803305</v>
      </c>
    </row>
    <row r="8" spans="1:6" x14ac:dyDescent="0.2">
      <c r="A8" s="1">
        <v>0</v>
      </c>
      <c r="C8" s="1">
        <v>4.662037037037037E-4</v>
      </c>
      <c r="E8" s="1">
        <v>0</v>
      </c>
    </row>
    <row r="9" spans="1:6" x14ac:dyDescent="0.2">
      <c r="A9" s="1">
        <v>0</v>
      </c>
      <c r="C9" s="1">
        <v>2.1685185185185184E-4</v>
      </c>
      <c r="E9" s="1">
        <v>0</v>
      </c>
    </row>
    <row r="10" spans="1:6" x14ac:dyDescent="0.2">
      <c r="A10" s="1">
        <v>0</v>
      </c>
      <c r="C10" s="1">
        <v>0</v>
      </c>
      <c r="E10" s="1">
        <v>0</v>
      </c>
    </row>
    <row r="11" spans="1:6" x14ac:dyDescent="0.2">
      <c r="A11" s="1">
        <v>0</v>
      </c>
      <c r="C11" s="1">
        <v>3.6962962962962958E-4</v>
      </c>
      <c r="E11" s="1">
        <v>0</v>
      </c>
    </row>
    <row r="12" spans="1:6" x14ac:dyDescent="0.2">
      <c r="A12" s="1">
        <v>2.7961904761904764E-2</v>
      </c>
      <c r="B12" s="7">
        <f>A12/2.9805*100</f>
        <v>0.93816154208705793</v>
      </c>
      <c r="C12" s="1">
        <v>2.8185185185185185E-2</v>
      </c>
      <c r="D12" s="7">
        <f>C12/2.9805*100</f>
        <v>0.94565291679869767</v>
      </c>
      <c r="E12" s="1">
        <v>2.7441176470588236E-2</v>
      </c>
      <c r="F12" s="7">
        <f>E12/2.9805*100</f>
        <v>0.92069036975635754</v>
      </c>
    </row>
    <row r="13" spans="1:6" x14ac:dyDescent="0.2">
      <c r="A13" s="1">
        <v>0</v>
      </c>
      <c r="C13" s="1">
        <v>0</v>
      </c>
      <c r="E13" s="1">
        <v>0</v>
      </c>
    </row>
    <row r="14" spans="1:6" x14ac:dyDescent="0.2">
      <c r="A14" s="1">
        <v>0</v>
      </c>
      <c r="C14" s="1">
        <v>0</v>
      </c>
      <c r="E14" s="1">
        <v>0</v>
      </c>
    </row>
    <row r="15" spans="1:6" x14ac:dyDescent="0.2">
      <c r="A15" s="1">
        <v>2.7971428571428574E-2</v>
      </c>
      <c r="B15" s="7">
        <f>A15/2.9896*100</f>
        <v>0.93562445047593568</v>
      </c>
      <c r="C15" s="1">
        <v>2.2499999999999999E-2</v>
      </c>
      <c r="D15" s="7">
        <f>C15/2.9896*100</f>
        <v>0.75260904468825263</v>
      </c>
      <c r="E15" s="1">
        <v>2.7843137254901961E-2</v>
      </c>
      <c r="F15" s="7">
        <f>E15/2.9896*100</f>
        <v>0.931333196912696</v>
      </c>
    </row>
    <row r="16" spans="1:6" x14ac:dyDescent="0.2">
      <c r="A16" s="1">
        <v>0</v>
      </c>
      <c r="C16" s="1">
        <v>0</v>
      </c>
      <c r="E16" s="1">
        <v>0</v>
      </c>
    </row>
    <row r="17" spans="1:5" x14ac:dyDescent="0.2">
      <c r="A17" s="1">
        <v>0</v>
      </c>
      <c r="C17" s="1">
        <v>0</v>
      </c>
      <c r="E17" s="1">
        <v>0</v>
      </c>
    </row>
    <row r="18" spans="1:5" x14ac:dyDescent="0.2">
      <c r="A18" s="1">
        <v>0</v>
      </c>
      <c r="C18" s="1">
        <v>0</v>
      </c>
      <c r="E18" s="1">
        <v>0</v>
      </c>
    </row>
    <row r="19" spans="1:5" x14ac:dyDescent="0.2">
      <c r="A19" s="1">
        <v>0</v>
      </c>
      <c r="C19" s="1">
        <v>2.498148148148148E-4</v>
      </c>
      <c r="E19" s="1">
        <v>0</v>
      </c>
    </row>
    <row r="20" spans="1:5" x14ac:dyDescent="0.2">
      <c r="A20" s="1">
        <v>0</v>
      </c>
      <c r="C20" s="1">
        <v>0</v>
      </c>
      <c r="E20" s="1">
        <v>0</v>
      </c>
    </row>
  </sheetData>
  <conditionalFormatting sqref="B12">
    <cfRule type="cellIs" dxfId="71" priority="34" stopIfTrue="1" operator="greaterThan">
      <formula>1.2</formula>
    </cfRule>
    <cfRule type="cellIs" dxfId="70" priority="35" stopIfTrue="1" operator="lessThan">
      <formula>0.8</formula>
    </cfRule>
    <cfRule type="cellIs" dxfId="69" priority="36" stopIfTrue="1" operator="between">
      <formula>0.8</formula>
      <formula>1.2</formula>
    </cfRule>
  </conditionalFormatting>
  <conditionalFormatting sqref="B15">
    <cfRule type="cellIs" dxfId="68" priority="31" stopIfTrue="1" operator="greaterThan">
      <formula>1.2</formula>
    </cfRule>
    <cfRule type="cellIs" dxfId="67" priority="32" stopIfTrue="1" operator="lessThan">
      <formula>0.8</formula>
    </cfRule>
    <cfRule type="cellIs" dxfId="66" priority="33" stopIfTrue="1" operator="between">
      <formula>0.8</formula>
      <formula>1.2</formula>
    </cfRule>
  </conditionalFormatting>
  <conditionalFormatting sqref="B7">
    <cfRule type="cellIs" dxfId="65" priority="28" stopIfTrue="1" operator="greaterThan">
      <formula>1.2</formula>
    </cfRule>
    <cfRule type="cellIs" dxfId="64" priority="29" stopIfTrue="1" operator="lessThan">
      <formula>0.8</formula>
    </cfRule>
    <cfRule type="cellIs" dxfId="63" priority="30" stopIfTrue="1" operator="between">
      <formula>0.8</formula>
      <formula>1.2</formula>
    </cfRule>
  </conditionalFormatting>
  <conditionalFormatting sqref="B4">
    <cfRule type="cellIs" dxfId="62" priority="25" stopIfTrue="1" operator="greaterThan">
      <formula>1.2</formula>
    </cfRule>
    <cfRule type="cellIs" dxfId="61" priority="26" stopIfTrue="1" operator="lessThan">
      <formula>0.8</formula>
    </cfRule>
    <cfRule type="cellIs" dxfId="60" priority="27" stopIfTrue="1" operator="between">
      <formula>0.8</formula>
      <formula>1.2</formula>
    </cfRule>
  </conditionalFormatting>
  <conditionalFormatting sqref="D12">
    <cfRule type="cellIs" dxfId="59" priority="22" stopIfTrue="1" operator="greaterThan">
      <formula>1.2</formula>
    </cfRule>
    <cfRule type="cellIs" dxfId="58" priority="23" stopIfTrue="1" operator="lessThan">
      <formula>0.8</formula>
    </cfRule>
    <cfRule type="cellIs" dxfId="57" priority="24" stopIfTrue="1" operator="between">
      <formula>0.8</formula>
      <formula>1.2</formula>
    </cfRule>
  </conditionalFormatting>
  <conditionalFormatting sqref="D15">
    <cfRule type="cellIs" dxfId="56" priority="19" stopIfTrue="1" operator="greaterThan">
      <formula>1.2</formula>
    </cfRule>
    <cfRule type="cellIs" dxfId="55" priority="20" stopIfTrue="1" operator="lessThan">
      <formula>0.8</formula>
    </cfRule>
    <cfRule type="cellIs" dxfId="54" priority="21" stopIfTrue="1" operator="between">
      <formula>0.8</formula>
      <formula>1.2</formula>
    </cfRule>
  </conditionalFormatting>
  <conditionalFormatting sqref="D7">
    <cfRule type="cellIs" dxfId="53" priority="16" stopIfTrue="1" operator="greaterThan">
      <formula>1.2</formula>
    </cfRule>
    <cfRule type="cellIs" dxfId="52" priority="17" stopIfTrue="1" operator="lessThan">
      <formula>0.8</formula>
    </cfRule>
    <cfRule type="cellIs" dxfId="51" priority="18" stopIfTrue="1" operator="between">
      <formula>0.8</formula>
      <formula>1.2</formula>
    </cfRule>
  </conditionalFormatting>
  <conditionalFormatting sqref="D4">
    <cfRule type="cellIs" dxfId="50" priority="13" stopIfTrue="1" operator="greaterThan">
      <formula>1.2</formula>
    </cfRule>
    <cfRule type="cellIs" dxfId="49" priority="14" stopIfTrue="1" operator="lessThan">
      <formula>0.8</formula>
    </cfRule>
    <cfRule type="cellIs" dxfId="48" priority="15" stopIfTrue="1" operator="between">
      <formula>0.8</formula>
      <formula>1.2</formula>
    </cfRule>
  </conditionalFormatting>
  <conditionalFormatting sqref="F12">
    <cfRule type="cellIs" dxfId="47" priority="10" stopIfTrue="1" operator="greaterThan">
      <formula>1.2</formula>
    </cfRule>
    <cfRule type="cellIs" dxfId="46" priority="11" stopIfTrue="1" operator="lessThan">
      <formula>0.8</formula>
    </cfRule>
    <cfRule type="cellIs" dxfId="45" priority="12" stopIfTrue="1" operator="between">
      <formula>0.8</formula>
      <formula>1.2</formula>
    </cfRule>
  </conditionalFormatting>
  <conditionalFormatting sqref="F15">
    <cfRule type="cellIs" dxfId="44" priority="7" stopIfTrue="1" operator="greaterThan">
      <formula>1.2</formula>
    </cfRule>
    <cfRule type="cellIs" dxfId="43" priority="8" stopIfTrue="1" operator="lessThan">
      <formula>0.8</formula>
    </cfRule>
    <cfRule type="cellIs" dxfId="42" priority="9" stopIfTrue="1" operator="between">
      <formula>0.8</formula>
      <formula>1.2</formula>
    </cfRule>
  </conditionalFormatting>
  <conditionalFormatting sqref="F7">
    <cfRule type="cellIs" dxfId="41" priority="4" stopIfTrue="1" operator="greaterThan">
      <formula>1.2</formula>
    </cfRule>
    <cfRule type="cellIs" dxfId="40" priority="5" stopIfTrue="1" operator="lessThan">
      <formula>0.8</formula>
    </cfRule>
    <cfRule type="cellIs" dxfId="39" priority="6" stopIfTrue="1" operator="between">
      <formula>0.8</formula>
      <formula>1.2</formula>
    </cfRule>
  </conditionalFormatting>
  <conditionalFormatting sqref="F4">
    <cfRule type="cellIs" dxfId="38" priority="1" stopIfTrue="1" operator="greaterThan">
      <formula>1.2</formula>
    </cfRule>
    <cfRule type="cellIs" dxfId="37" priority="2" stopIfTrue="1" operator="lessThan">
      <formula>0.8</formula>
    </cfRule>
    <cfRule type="cellIs" dxfId="36" priority="3" stopIfTrue="1" operator="between">
      <formula>0.8</formula>
      <formula>1.2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6875-1A47-412C-BEDC-66D79890C531}">
  <dimension ref="A1:AR47"/>
  <sheetViews>
    <sheetView tabSelected="1" topLeftCell="R1" workbookViewId="0">
      <selection activeCell="AJ25" sqref="AI25:AJ27"/>
    </sheetView>
  </sheetViews>
  <sheetFormatPr defaultRowHeight="14.25" x14ac:dyDescent="0.2"/>
  <sheetData>
    <row r="1" spans="1:44" ht="12.95" customHeight="1" x14ac:dyDescent="0.2">
      <c r="A1" s="5"/>
      <c r="B1" s="5"/>
      <c r="C1" s="5"/>
      <c r="D1" s="4" t="s">
        <v>75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  <c r="N1" s="4" t="s">
        <v>85</v>
      </c>
      <c r="O1" s="4" t="s">
        <v>86</v>
      </c>
      <c r="P1" s="4" t="s">
        <v>87</v>
      </c>
      <c r="Q1" s="4" t="s">
        <v>75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75</v>
      </c>
      <c r="AA1" s="4" t="s">
        <v>96</v>
      </c>
      <c r="AB1" s="4" t="s">
        <v>97</v>
      </c>
      <c r="AC1" s="4" t="s">
        <v>98</v>
      </c>
      <c r="AD1" s="4" t="s">
        <v>99</v>
      </c>
      <c r="AE1" s="4" t="s">
        <v>100</v>
      </c>
      <c r="AF1" s="4" t="s">
        <v>101</v>
      </c>
      <c r="AG1" s="4" t="s">
        <v>102</v>
      </c>
      <c r="AH1" s="4" t="s">
        <v>103</v>
      </c>
      <c r="AI1" s="4" t="s">
        <v>104</v>
      </c>
      <c r="AJ1" s="4" t="s">
        <v>105</v>
      </c>
      <c r="AK1" s="4" t="s">
        <v>75</v>
      </c>
      <c r="AL1" s="4" t="s">
        <v>106</v>
      </c>
      <c r="AM1" s="4" t="s">
        <v>107</v>
      </c>
      <c r="AN1" s="4" t="s">
        <v>108</v>
      </c>
      <c r="AO1" s="4" t="s">
        <v>109</v>
      </c>
      <c r="AP1" s="4" t="s">
        <v>110</v>
      </c>
      <c r="AQ1" s="4" t="s">
        <v>111</v>
      </c>
      <c r="AR1" s="4" t="s">
        <v>75</v>
      </c>
    </row>
    <row r="2" spans="1:44" ht="12.95" customHeight="1" x14ac:dyDescent="0.2">
      <c r="A2" s="4" t="s">
        <v>129</v>
      </c>
      <c r="B2" s="4" t="s">
        <v>130</v>
      </c>
      <c r="C2" s="3" t="s">
        <v>112</v>
      </c>
      <c r="D2" s="1" t="s">
        <v>131</v>
      </c>
      <c r="E2" s="1" t="s">
        <v>132</v>
      </c>
      <c r="F2" s="1" t="s">
        <v>113</v>
      </c>
      <c r="G2" s="1" t="s">
        <v>113</v>
      </c>
      <c r="H2" s="1" t="s">
        <v>113</v>
      </c>
      <c r="I2" s="1" t="s">
        <v>113</v>
      </c>
      <c r="J2" s="1" t="s">
        <v>113</v>
      </c>
      <c r="K2" s="1" t="s">
        <v>113</v>
      </c>
      <c r="L2" s="1" t="s">
        <v>113</v>
      </c>
      <c r="M2" s="1" t="s">
        <v>113</v>
      </c>
      <c r="N2" s="1" t="s">
        <v>113</v>
      </c>
      <c r="O2" s="1" t="s">
        <v>113</v>
      </c>
      <c r="P2" s="1" t="s">
        <v>113</v>
      </c>
      <c r="Q2" s="1" t="s">
        <v>133</v>
      </c>
      <c r="R2" s="1" t="s">
        <v>113</v>
      </c>
      <c r="S2" s="1" t="s">
        <v>113</v>
      </c>
      <c r="T2" s="1" t="s">
        <v>113</v>
      </c>
      <c r="U2" s="1" t="s">
        <v>113</v>
      </c>
      <c r="V2" s="1" t="s">
        <v>113</v>
      </c>
      <c r="W2" s="1" t="s">
        <v>113</v>
      </c>
      <c r="X2" s="1" t="s">
        <v>113</v>
      </c>
      <c r="Y2" s="1" t="s">
        <v>113</v>
      </c>
      <c r="Z2" s="1" t="s">
        <v>134</v>
      </c>
      <c r="AA2" s="1" t="s">
        <v>135</v>
      </c>
      <c r="AB2" s="1" t="s">
        <v>113</v>
      </c>
      <c r="AC2" s="1" t="s">
        <v>113</v>
      </c>
      <c r="AD2" s="1" t="s">
        <v>113</v>
      </c>
      <c r="AE2" s="1" t="s">
        <v>113</v>
      </c>
      <c r="AF2" s="1" t="s">
        <v>113</v>
      </c>
      <c r="AG2" s="1" t="s">
        <v>113</v>
      </c>
      <c r="AH2" s="1" t="s">
        <v>113</v>
      </c>
      <c r="AI2" s="1" t="s">
        <v>113</v>
      </c>
      <c r="AJ2" s="1" t="s">
        <v>113</v>
      </c>
      <c r="AK2" s="1" t="s">
        <v>136</v>
      </c>
      <c r="AL2" s="1" t="s">
        <v>137</v>
      </c>
      <c r="AM2" s="1" t="s">
        <v>113</v>
      </c>
      <c r="AN2" s="1" t="s">
        <v>113</v>
      </c>
      <c r="AO2" s="1" t="s">
        <v>113</v>
      </c>
      <c r="AP2" s="1" t="s">
        <v>113</v>
      </c>
      <c r="AQ2" s="1" t="s">
        <v>113</v>
      </c>
      <c r="AR2" s="1" t="s">
        <v>138</v>
      </c>
    </row>
    <row r="3" spans="1:44" ht="12.95" customHeight="1" x14ac:dyDescent="0.2">
      <c r="A3" s="4" t="s">
        <v>139</v>
      </c>
      <c r="B3" s="4" t="s">
        <v>140</v>
      </c>
      <c r="C3" s="3" t="s">
        <v>112</v>
      </c>
      <c r="D3" s="1" t="s">
        <v>141</v>
      </c>
      <c r="E3" s="1" t="s">
        <v>113</v>
      </c>
      <c r="F3" s="1" t="s">
        <v>113</v>
      </c>
      <c r="G3" s="1" t="s">
        <v>113</v>
      </c>
      <c r="H3" s="1" t="s">
        <v>113</v>
      </c>
      <c r="I3" s="1" t="s">
        <v>113</v>
      </c>
      <c r="J3" s="1" t="s">
        <v>113</v>
      </c>
      <c r="K3" s="1" t="s">
        <v>113</v>
      </c>
      <c r="L3" s="1" t="s">
        <v>113</v>
      </c>
      <c r="M3" s="1" t="s">
        <v>113</v>
      </c>
      <c r="N3" s="1" t="s">
        <v>113</v>
      </c>
      <c r="O3" s="1" t="s">
        <v>113</v>
      </c>
      <c r="P3" s="1" t="s">
        <v>113</v>
      </c>
      <c r="Q3" s="1" t="s">
        <v>142</v>
      </c>
      <c r="R3" s="1" t="s">
        <v>113</v>
      </c>
      <c r="S3" s="1" t="s">
        <v>113</v>
      </c>
      <c r="T3" s="1" t="s">
        <v>113</v>
      </c>
      <c r="U3" s="1" t="s">
        <v>113</v>
      </c>
      <c r="V3" s="1" t="s">
        <v>113</v>
      </c>
      <c r="W3" s="1" t="s">
        <v>113</v>
      </c>
      <c r="X3" s="1" t="s">
        <v>113</v>
      </c>
      <c r="Y3" s="1" t="s">
        <v>113</v>
      </c>
      <c r="Z3" s="1" t="s">
        <v>143</v>
      </c>
      <c r="AA3" s="1" t="s">
        <v>144</v>
      </c>
      <c r="AB3" s="1" t="s">
        <v>113</v>
      </c>
      <c r="AC3" s="1" t="s">
        <v>145</v>
      </c>
      <c r="AD3" s="1" t="s">
        <v>146</v>
      </c>
      <c r="AE3" s="1" t="s">
        <v>147</v>
      </c>
      <c r="AF3" s="1" t="s">
        <v>113</v>
      </c>
      <c r="AG3" s="1" t="s">
        <v>113</v>
      </c>
      <c r="AH3" s="1" t="s">
        <v>113</v>
      </c>
      <c r="AI3" s="1" t="s">
        <v>113</v>
      </c>
      <c r="AJ3" s="1" t="s">
        <v>113</v>
      </c>
      <c r="AK3" s="1" t="s">
        <v>148</v>
      </c>
      <c r="AL3" s="1" t="s">
        <v>113</v>
      </c>
      <c r="AM3" s="1" t="s">
        <v>113</v>
      </c>
      <c r="AN3" s="1" t="s">
        <v>113</v>
      </c>
      <c r="AO3" s="1" t="s">
        <v>113</v>
      </c>
      <c r="AP3" s="1" t="s">
        <v>113</v>
      </c>
      <c r="AQ3" s="1" t="s">
        <v>113</v>
      </c>
      <c r="AR3" s="1" t="s">
        <v>149</v>
      </c>
    </row>
    <row r="4" spans="1:44" ht="12.95" customHeight="1" x14ac:dyDescent="0.2">
      <c r="A4" s="4" t="s">
        <v>150</v>
      </c>
      <c r="B4" s="4" t="s">
        <v>151</v>
      </c>
      <c r="C4" s="3" t="s">
        <v>112</v>
      </c>
      <c r="D4" s="1" t="s">
        <v>153</v>
      </c>
      <c r="E4" s="1" t="s">
        <v>154</v>
      </c>
      <c r="F4" s="1" t="s">
        <v>113</v>
      </c>
      <c r="G4" s="1" t="s">
        <v>113</v>
      </c>
      <c r="H4" s="1" t="s">
        <v>113</v>
      </c>
      <c r="I4" s="1" t="s">
        <v>113</v>
      </c>
      <c r="J4" s="1" t="s">
        <v>113</v>
      </c>
      <c r="K4" s="1" t="s">
        <v>113</v>
      </c>
      <c r="L4" s="1" t="s">
        <v>113</v>
      </c>
      <c r="M4" s="1" t="s">
        <v>113</v>
      </c>
      <c r="N4" s="1" t="s">
        <v>113</v>
      </c>
      <c r="O4" s="1" t="s">
        <v>113</v>
      </c>
      <c r="P4" s="1" t="s">
        <v>113</v>
      </c>
      <c r="Q4" s="1" t="s">
        <v>155</v>
      </c>
      <c r="R4" s="1" t="s">
        <v>113</v>
      </c>
      <c r="S4" s="1" t="s">
        <v>113</v>
      </c>
      <c r="T4" s="1" t="s">
        <v>113</v>
      </c>
      <c r="U4" s="1" t="s">
        <v>113</v>
      </c>
      <c r="V4" s="1" t="s">
        <v>113</v>
      </c>
      <c r="W4" s="1" t="s">
        <v>113</v>
      </c>
      <c r="X4" s="1" t="s">
        <v>113</v>
      </c>
      <c r="Y4" s="1" t="s">
        <v>113</v>
      </c>
      <c r="Z4" s="1" t="s">
        <v>157</v>
      </c>
      <c r="AA4" s="1" t="s">
        <v>158</v>
      </c>
      <c r="AB4" s="1" t="s">
        <v>159</v>
      </c>
      <c r="AC4" s="1" t="s">
        <v>160</v>
      </c>
      <c r="AD4" s="1" t="s">
        <v>161</v>
      </c>
      <c r="AE4" s="1" t="s">
        <v>162</v>
      </c>
      <c r="AF4" s="1" t="s">
        <v>113</v>
      </c>
      <c r="AG4" s="1" t="s">
        <v>113</v>
      </c>
      <c r="AH4" s="1" t="s">
        <v>113</v>
      </c>
      <c r="AI4" s="1" t="s">
        <v>113</v>
      </c>
      <c r="AJ4" s="1" t="s">
        <v>163</v>
      </c>
      <c r="AK4" s="1" t="s">
        <v>165</v>
      </c>
      <c r="AL4" s="1" t="s">
        <v>166</v>
      </c>
      <c r="AM4" s="1" t="s">
        <v>113</v>
      </c>
      <c r="AN4" s="1" t="s">
        <v>113</v>
      </c>
      <c r="AO4" s="1" t="s">
        <v>113</v>
      </c>
      <c r="AP4" s="1" t="s">
        <v>113</v>
      </c>
      <c r="AQ4" s="1" t="s">
        <v>113</v>
      </c>
      <c r="AR4" s="1" t="s">
        <v>168</v>
      </c>
    </row>
    <row r="5" spans="1:44" ht="12.95" customHeight="1" x14ac:dyDescent="0.2">
      <c r="A5" s="4" t="s">
        <v>169</v>
      </c>
      <c r="B5" s="4" t="s">
        <v>170</v>
      </c>
      <c r="C5" s="3" t="s">
        <v>112</v>
      </c>
      <c r="D5" s="1" t="s">
        <v>171</v>
      </c>
      <c r="E5" s="1" t="s">
        <v>172</v>
      </c>
      <c r="F5" s="1" t="s">
        <v>173</v>
      </c>
      <c r="G5" s="1" t="s">
        <v>174</v>
      </c>
      <c r="H5" s="1" t="s">
        <v>175</v>
      </c>
      <c r="I5" s="1" t="s">
        <v>176</v>
      </c>
      <c r="J5" s="1" t="s">
        <v>177</v>
      </c>
      <c r="K5" s="1" t="s">
        <v>178</v>
      </c>
      <c r="L5" s="1" t="s">
        <v>179</v>
      </c>
      <c r="M5" s="1" t="s">
        <v>180</v>
      </c>
      <c r="N5" s="1" t="s">
        <v>181</v>
      </c>
      <c r="O5" s="1" t="s">
        <v>182</v>
      </c>
      <c r="P5" s="1" t="s">
        <v>183</v>
      </c>
      <c r="Q5" s="1" t="s">
        <v>184</v>
      </c>
      <c r="R5" s="1" t="s">
        <v>185</v>
      </c>
      <c r="S5" s="1" t="s">
        <v>186</v>
      </c>
      <c r="T5" s="1" t="s">
        <v>187</v>
      </c>
      <c r="U5" s="1" t="s">
        <v>185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113</v>
      </c>
      <c r="AC5" s="1" t="s">
        <v>113</v>
      </c>
      <c r="AD5" s="1" t="s">
        <v>113</v>
      </c>
      <c r="AE5" s="1" t="s">
        <v>113</v>
      </c>
      <c r="AF5" s="1" t="s">
        <v>113</v>
      </c>
      <c r="AG5" s="1" t="s">
        <v>113</v>
      </c>
      <c r="AH5" s="1" t="s">
        <v>113</v>
      </c>
      <c r="AI5" s="1" t="s">
        <v>113</v>
      </c>
      <c r="AJ5" s="1" t="s">
        <v>113</v>
      </c>
      <c r="AK5" s="1" t="s">
        <v>194</v>
      </c>
      <c r="AL5" s="1" t="s">
        <v>195</v>
      </c>
      <c r="AM5" s="1" t="s">
        <v>113</v>
      </c>
      <c r="AN5" s="1" t="s">
        <v>113</v>
      </c>
      <c r="AO5" s="1" t="s">
        <v>113</v>
      </c>
      <c r="AP5" s="1" t="s">
        <v>113</v>
      </c>
      <c r="AQ5" s="1" t="s">
        <v>113</v>
      </c>
      <c r="AR5" s="1" t="s">
        <v>157</v>
      </c>
    </row>
    <row r="6" spans="1:44" ht="12.95" customHeight="1" x14ac:dyDescent="0.2">
      <c r="A6" s="4" t="s">
        <v>196</v>
      </c>
      <c r="B6" s="4" t="s">
        <v>197</v>
      </c>
      <c r="C6" s="3" t="s">
        <v>112</v>
      </c>
      <c r="D6" s="1" t="s">
        <v>198</v>
      </c>
      <c r="E6" s="1" t="s">
        <v>199</v>
      </c>
      <c r="F6" s="1" t="s">
        <v>200</v>
      </c>
      <c r="G6" s="1" t="s">
        <v>201</v>
      </c>
      <c r="H6" s="1" t="s">
        <v>202</v>
      </c>
      <c r="I6" s="1" t="s">
        <v>203</v>
      </c>
      <c r="J6" s="1" t="s">
        <v>204</v>
      </c>
      <c r="K6" s="1" t="s">
        <v>205</v>
      </c>
      <c r="L6" s="1" t="s">
        <v>206</v>
      </c>
      <c r="M6" s="1" t="s">
        <v>207</v>
      </c>
      <c r="N6" s="1" t="s">
        <v>208</v>
      </c>
      <c r="O6" s="1" t="s">
        <v>209</v>
      </c>
      <c r="P6" s="1" t="s">
        <v>210</v>
      </c>
      <c r="Q6" s="1" t="s">
        <v>211</v>
      </c>
      <c r="R6" s="1" t="s">
        <v>212</v>
      </c>
      <c r="S6" s="1" t="s">
        <v>213</v>
      </c>
      <c r="T6" s="1" t="s">
        <v>214</v>
      </c>
      <c r="U6" s="1" t="s">
        <v>215</v>
      </c>
      <c r="V6" s="1" t="s">
        <v>216</v>
      </c>
      <c r="W6" s="1" t="s">
        <v>217</v>
      </c>
      <c r="X6" s="1" t="s">
        <v>218</v>
      </c>
      <c r="Y6" s="1" t="s">
        <v>219</v>
      </c>
      <c r="Z6" s="1" t="s">
        <v>220</v>
      </c>
      <c r="AA6" s="1" t="s">
        <v>221</v>
      </c>
      <c r="AB6" s="1" t="s">
        <v>222</v>
      </c>
      <c r="AC6" s="1" t="s">
        <v>223</v>
      </c>
      <c r="AD6" s="1" t="s">
        <v>224</v>
      </c>
      <c r="AE6" s="1" t="s">
        <v>225</v>
      </c>
      <c r="AF6" s="1" t="s">
        <v>226</v>
      </c>
      <c r="AG6" s="1" t="s">
        <v>227</v>
      </c>
      <c r="AH6" s="1" t="s">
        <v>228</v>
      </c>
      <c r="AI6" s="1" t="s">
        <v>229</v>
      </c>
      <c r="AJ6" s="1" t="s">
        <v>230</v>
      </c>
      <c r="AK6" s="1" t="s">
        <v>231</v>
      </c>
      <c r="AL6" s="1" t="s">
        <v>182</v>
      </c>
      <c r="AM6" s="1" t="s">
        <v>232</v>
      </c>
      <c r="AN6" s="1" t="s">
        <v>233</v>
      </c>
      <c r="AO6" s="1" t="s">
        <v>234</v>
      </c>
      <c r="AP6" s="1" t="s">
        <v>235</v>
      </c>
      <c r="AQ6" s="1" t="s">
        <v>236</v>
      </c>
      <c r="AR6" s="1" t="s">
        <v>231</v>
      </c>
    </row>
    <row r="7" spans="1:44" ht="12.95" customHeight="1" x14ac:dyDescent="0.2">
      <c r="A7" s="4" t="s">
        <v>237</v>
      </c>
      <c r="B7" s="4" t="s">
        <v>238</v>
      </c>
      <c r="C7" s="3" t="s">
        <v>112</v>
      </c>
      <c r="D7" s="1" t="s">
        <v>240</v>
      </c>
      <c r="E7" s="1" t="s">
        <v>241</v>
      </c>
      <c r="F7" s="1" t="s">
        <v>113</v>
      </c>
      <c r="G7" s="1" t="s">
        <v>113</v>
      </c>
      <c r="H7" s="1" t="s">
        <v>113</v>
      </c>
      <c r="I7" s="1" t="s">
        <v>113</v>
      </c>
      <c r="J7" s="1" t="s">
        <v>113</v>
      </c>
      <c r="K7" s="1" t="s">
        <v>113</v>
      </c>
      <c r="L7" s="1" t="s">
        <v>113</v>
      </c>
      <c r="M7" s="1" t="s">
        <v>113</v>
      </c>
      <c r="N7" s="1" t="s">
        <v>113</v>
      </c>
      <c r="O7" s="1" t="s">
        <v>113</v>
      </c>
      <c r="P7" s="1" t="s">
        <v>113</v>
      </c>
      <c r="Q7" s="1" t="s">
        <v>242</v>
      </c>
      <c r="R7" s="1" t="s">
        <v>113</v>
      </c>
      <c r="S7" s="1" t="s">
        <v>113</v>
      </c>
      <c r="T7" s="1" t="s">
        <v>113</v>
      </c>
      <c r="U7" s="1" t="s">
        <v>113</v>
      </c>
      <c r="V7" s="1" t="s">
        <v>113</v>
      </c>
      <c r="W7" s="1" t="s">
        <v>113</v>
      </c>
      <c r="X7" s="1" t="s">
        <v>113</v>
      </c>
      <c r="Y7" s="1" t="s">
        <v>113</v>
      </c>
      <c r="Z7" s="1" t="s">
        <v>244</v>
      </c>
      <c r="AA7" s="1" t="s">
        <v>245</v>
      </c>
      <c r="AB7" s="1" t="s">
        <v>246</v>
      </c>
      <c r="AC7" s="1" t="s">
        <v>185</v>
      </c>
      <c r="AD7" s="1" t="s">
        <v>247</v>
      </c>
      <c r="AE7" s="1" t="s">
        <v>248</v>
      </c>
      <c r="AF7" s="1" t="s">
        <v>113</v>
      </c>
      <c r="AG7" s="1" t="s">
        <v>113</v>
      </c>
      <c r="AH7" s="1" t="s">
        <v>113</v>
      </c>
      <c r="AI7" s="1" t="s">
        <v>249</v>
      </c>
      <c r="AJ7" s="1" t="s">
        <v>250</v>
      </c>
      <c r="AK7" s="1" t="s">
        <v>168</v>
      </c>
      <c r="AL7" s="1" t="s">
        <v>252</v>
      </c>
      <c r="AM7" s="1" t="s">
        <v>113</v>
      </c>
      <c r="AN7" s="1" t="s">
        <v>113</v>
      </c>
      <c r="AO7" s="1" t="s">
        <v>113</v>
      </c>
      <c r="AP7" s="1" t="s">
        <v>113</v>
      </c>
      <c r="AQ7" s="1" t="s">
        <v>113</v>
      </c>
      <c r="AR7" s="1" t="s">
        <v>168</v>
      </c>
    </row>
    <row r="8" spans="1:44" ht="12.95" customHeight="1" x14ac:dyDescent="0.2">
      <c r="A8" s="4" t="s">
        <v>254</v>
      </c>
      <c r="B8" s="4" t="s">
        <v>255</v>
      </c>
      <c r="C8" s="3" t="s">
        <v>112</v>
      </c>
      <c r="D8" s="1" t="s">
        <v>257</v>
      </c>
      <c r="E8" s="1" t="s">
        <v>113</v>
      </c>
      <c r="F8" s="1" t="s">
        <v>258</v>
      </c>
      <c r="G8" s="1" t="s">
        <v>259</v>
      </c>
      <c r="H8" s="1" t="s">
        <v>220</v>
      </c>
      <c r="I8" s="1" t="s">
        <v>260</v>
      </c>
      <c r="J8" s="1" t="s">
        <v>261</v>
      </c>
      <c r="K8" s="1" t="s">
        <v>262</v>
      </c>
      <c r="L8" s="1" t="s">
        <v>263</v>
      </c>
      <c r="M8" s="1" t="s">
        <v>264</v>
      </c>
      <c r="N8" s="1" t="s">
        <v>265</v>
      </c>
      <c r="O8" s="1" t="s">
        <v>266</v>
      </c>
      <c r="P8" s="1" t="s">
        <v>267</v>
      </c>
      <c r="Q8" s="1" t="s">
        <v>268</v>
      </c>
      <c r="R8" s="1" t="s">
        <v>269</v>
      </c>
      <c r="S8" s="1" t="s">
        <v>270</v>
      </c>
      <c r="T8" s="1" t="s">
        <v>271</v>
      </c>
      <c r="U8" s="1" t="s">
        <v>272</v>
      </c>
      <c r="V8" s="1" t="s">
        <v>273</v>
      </c>
      <c r="W8" s="1" t="s">
        <v>274</v>
      </c>
      <c r="X8" s="1" t="s">
        <v>275</v>
      </c>
      <c r="Y8" s="1" t="s">
        <v>276</v>
      </c>
      <c r="Z8" s="1" t="s">
        <v>278</v>
      </c>
      <c r="AA8" s="1" t="s">
        <v>279</v>
      </c>
      <c r="AB8" s="1" t="s">
        <v>280</v>
      </c>
      <c r="AC8" s="1" t="s">
        <v>281</v>
      </c>
      <c r="AD8" s="1" t="s">
        <v>282</v>
      </c>
      <c r="AE8" s="1" t="s">
        <v>283</v>
      </c>
      <c r="AF8" s="1" t="s">
        <v>284</v>
      </c>
      <c r="AG8" s="1" t="s">
        <v>113</v>
      </c>
      <c r="AH8" s="1" t="s">
        <v>113</v>
      </c>
      <c r="AI8" s="1" t="s">
        <v>285</v>
      </c>
      <c r="AJ8" s="1" t="s">
        <v>286</v>
      </c>
      <c r="AK8" s="1" t="s">
        <v>288</v>
      </c>
      <c r="AL8" s="1" t="s">
        <v>113</v>
      </c>
      <c r="AM8" s="1" t="s">
        <v>289</v>
      </c>
      <c r="AN8" s="1" t="s">
        <v>290</v>
      </c>
      <c r="AO8" s="1" t="s">
        <v>291</v>
      </c>
      <c r="AP8" s="1" t="s">
        <v>292</v>
      </c>
      <c r="AQ8" s="1" t="s">
        <v>293</v>
      </c>
      <c r="AR8" s="1" t="s">
        <v>295</v>
      </c>
    </row>
    <row r="9" spans="1:44" ht="12.95" customHeight="1" x14ac:dyDescent="0.2">
      <c r="A9" s="4" t="s">
        <v>296</v>
      </c>
      <c r="B9" s="4" t="s">
        <v>297</v>
      </c>
      <c r="C9" s="3" t="s">
        <v>112</v>
      </c>
      <c r="D9" s="1" t="s">
        <v>298</v>
      </c>
      <c r="E9" s="1" t="s">
        <v>113</v>
      </c>
      <c r="F9" s="1" t="s">
        <v>113</v>
      </c>
      <c r="G9" s="1" t="s">
        <v>113</v>
      </c>
      <c r="H9" s="1" t="s">
        <v>113</v>
      </c>
      <c r="I9" s="1" t="s">
        <v>113</v>
      </c>
      <c r="J9" s="1" t="s">
        <v>113</v>
      </c>
      <c r="K9" s="1" t="s">
        <v>113</v>
      </c>
      <c r="L9" s="1" t="s">
        <v>113</v>
      </c>
      <c r="M9" s="1" t="s">
        <v>113</v>
      </c>
      <c r="N9" s="1" t="s">
        <v>113</v>
      </c>
      <c r="O9" s="1" t="s">
        <v>113</v>
      </c>
      <c r="P9" s="1" t="s">
        <v>113</v>
      </c>
      <c r="Q9" s="1" t="s">
        <v>299</v>
      </c>
      <c r="R9" s="1" t="s">
        <v>113</v>
      </c>
      <c r="S9" s="1" t="s">
        <v>113</v>
      </c>
      <c r="T9" s="1" t="s">
        <v>113</v>
      </c>
      <c r="U9" s="1" t="s">
        <v>113</v>
      </c>
      <c r="V9" s="1" t="s">
        <v>113</v>
      </c>
      <c r="W9" s="1" t="s">
        <v>113</v>
      </c>
      <c r="X9" s="1" t="s">
        <v>113</v>
      </c>
      <c r="Y9" s="1" t="s">
        <v>113</v>
      </c>
      <c r="Z9" s="1" t="s">
        <v>300</v>
      </c>
      <c r="AA9" s="1" t="s">
        <v>301</v>
      </c>
      <c r="AB9" s="1" t="s">
        <v>113</v>
      </c>
      <c r="AC9" s="1" t="s">
        <v>113</v>
      </c>
      <c r="AD9" s="1" t="s">
        <v>113</v>
      </c>
      <c r="AE9" s="1" t="s">
        <v>113</v>
      </c>
      <c r="AF9" s="1" t="s">
        <v>113</v>
      </c>
      <c r="AG9" s="1" t="s">
        <v>113</v>
      </c>
      <c r="AH9" s="1" t="s">
        <v>113</v>
      </c>
      <c r="AI9" s="1" t="s">
        <v>113</v>
      </c>
      <c r="AJ9" s="1" t="s">
        <v>113</v>
      </c>
      <c r="AK9" s="1" t="s">
        <v>157</v>
      </c>
      <c r="AL9" s="1" t="s">
        <v>113</v>
      </c>
      <c r="AM9" s="1" t="s">
        <v>113</v>
      </c>
      <c r="AN9" s="1" t="s">
        <v>113</v>
      </c>
      <c r="AO9" s="1" t="s">
        <v>113</v>
      </c>
      <c r="AP9" s="1" t="s">
        <v>113</v>
      </c>
      <c r="AQ9" s="1" t="s">
        <v>113</v>
      </c>
      <c r="AR9" s="1" t="s">
        <v>157</v>
      </c>
    </row>
    <row r="10" spans="1:44" ht="12.95" customHeight="1" x14ac:dyDescent="0.2">
      <c r="A10" s="4" t="s">
        <v>304</v>
      </c>
      <c r="B10" s="4" t="s">
        <v>305</v>
      </c>
      <c r="C10" s="3" t="s">
        <v>112</v>
      </c>
      <c r="D10" s="1" t="s">
        <v>306</v>
      </c>
      <c r="E10" s="1" t="s">
        <v>113</v>
      </c>
      <c r="F10" s="1" t="s">
        <v>113</v>
      </c>
      <c r="G10" s="1" t="s">
        <v>113</v>
      </c>
      <c r="H10" s="1" t="s">
        <v>113</v>
      </c>
      <c r="I10" s="1" t="s">
        <v>113</v>
      </c>
      <c r="J10" s="1" t="s">
        <v>113</v>
      </c>
      <c r="K10" s="1" t="s">
        <v>113</v>
      </c>
      <c r="L10" s="1" t="s">
        <v>113</v>
      </c>
      <c r="M10" s="1" t="s">
        <v>113</v>
      </c>
      <c r="N10" s="1" t="s">
        <v>113</v>
      </c>
      <c r="O10" s="1" t="s">
        <v>113</v>
      </c>
      <c r="P10" s="1" t="s">
        <v>113</v>
      </c>
      <c r="Q10" s="1" t="s">
        <v>307</v>
      </c>
      <c r="R10" s="1" t="s">
        <v>113</v>
      </c>
      <c r="S10" s="1" t="s">
        <v>113</v>
      </c>
      <c r="T10" s="1" t="s">
        <v>113</v>
      </c>
      <c r="U10" s="1" t="s">
        <v>113</v>
      </c>
      <c r="V10" s="1" t="s">
        <v>113</v>
      </c>
      <c r="W10" s="1" t="s">
        <v>113</v>
      </c>
      <c r="X10" s="1" t="s">
        <v>113</v>
      </c>
      <c r="Y10" s="1" t="s">
        <v>113</v>
      </c>
      <c r="Z10" s="1" t="s">
        <v>141</v>
      </c>
      <c r="AA10" s="1" t="s">
        <v>113</v>
      </c>
      <c r="AB10" s="1" t="s">
        <v>113</v>
      </c>
      <c r="AC10" s="1" t="s">
        <v>113</v>
      </c>
      <c r="AD10" s="1" t="s">
        <v>113</v>
      </c>
      <c r="AE10" s="1" t="s">
        <v>113</v>
      </c>
      <c r="AF10" s="1" t="s">
        <v>113</v>
      </c>
      <c r="AG10" s="1" t="s">
        <v>113</v>
      </c>
      <c r="AH10" s="1" t="s">
        <v>113</v>
      </c>
      <c r="AI10" s="1" t="s">
        <v>113</v>
      </c>
      <c r="AJ10" s="1" t="s">
        <v>113</v>
      </c>
      <c r="AK10" s="1" t="s">
        <v>308</v>
      </c>
      <c r="AL10" s="1" t="s">
        <v>113</v>
      </c>
      <c r="AM10" s="1" t="s">
        <v>113</v>
      </c>
      <c r="AN10" s="1" t="s">
        <v>113</v>
      </c>
      <c r="AO10" s="1" t="s">
        <v>113</v>
      </c>
      <c r="AP10" s="1" t="s">
        <v>113</v>
      </c>
      <c r="AQ10" s="1" t="s">
        <v>113</v>
      </c>
      <c r="AR10" s="1" t="s">
        <v>309</v>
      </c>
    </row>
    <row r="11" spans="1:44" ht="12.95" customHeight="1" x14ac:dyDescent="0.2">
      <c r="A11" s="4" t="s">
        <v>310</v>
      </c>
      <c r="B11" s="4" t="s">
        <v>311</v>
      </c>
      <c r="C11" s="3" t="s">
        <v>112</v>
      </c>
      <c r="D11" s="1" t="s">
        <v>184</v>
      </c>
      <c r="E11" s="1" t="s">
        <v>113</v>
      </c>
      <c r="F11" s="1" t="s">
        <v>313</v>
      </c>
      <c r="G11" s="1" t="s">
        <v>314</v>
      </c>
      <c r="H11" s="1" t="s">
        <v>315</v>
      </c>
      <c r="I11" s="1" t="s">
        <v>316</v>
      </c>
      <c r="J11" s="1" t="s">
        <v>317</v>
      </c>
      <c r="K11" s="1" t="s">
        <v>318</v>
      </c>
      <c r="L11" s="1" t="s">
        <v>319</v>
      </c>
      <c r="M11" s="1" t="s">
        <v>320</v>
      </c>
      <c r="N11" s="1" t="s">
        <v>321</v>
      </c>
      <c r="O11" s="1" t="s">
        <v>322</v>
      </c>
      <c r="P11" s="1" t="s">
        <v>323</v>
      </c>
      <c r="Q11" s="1" t="s">
        <v>324</v>
      </c>
      <c r="R11" s="1" t="s">
        <v>325</v>
      </c>
      <c r="S11" s="1" t="s">
        <v>326</v>
      </c>
      <c r="T11" s="1" t="s">
        <v>327</v>
      </c>
      <c r="U11" s="1" t="s">
        <v>292</v>
      </c>
      <c r="V11" s="1" t="s">
        <v>328</v>
      </c>
      <c r="W11" s="1" t="s">
        <v>329</v>
      </c>
      <c r="X11" s="1" t="s">
        <v>330</v>
      </c>
      <c r="Y11" s="1" t="s">
        <v>331</v>
      </c>
      <c r="Z11" s="1" t="s">
        <v>333</v>
      </c>
      <c r="AA11" s="1" t="s">
        <v>334</v>
      </c>
      <c r="AB11" s="1" t="s">
        <v>335</v>
      </c>
      <c r="AC11" s="1" t="s">
        <v>336</v>
      </c>
      <c r="AD11" s="1" t="s">
        <v>337</v>
      </c>
      <c r="AE11" s="1" t="s">
        <v>338</v>
      </c>
      <c r="AF11" s="1" t="s">
        <v>339</v>
      </c>
      <c r="AG11" s="1" t="s">
        <v>340</v>
      </c>
      <c r="AH11" s="1" t="s">
        <v>341</v>
      </c>
      <c r="AI11" s="1" t="s">
        <v>342</v>
      </c>
      <c r="AJ11" s="1" t="s">
        <v>343</v>
      </c>
      <c r="AK11" s="1" t="s">
        <v>345</v>
      </c>
      <c r="AL11" s="1" t="s">
        <v>113</v>
      </c>
      <c r="AM11" s="1" t="s">
        <v>346</v>
      </c>
      <c r="AN11" s="1" t="s">
        <v>347</v>
      </c>
      <c r="AO11" s="1" t="s">
        <v>348</v>
      </c>
      <c r="AP11" s="1" t="s">
        <v>349</v>
      </c>
      <c r="AQ11" s="1" t="s">
        <v>350</v>
      </c>
      <c r="AR11" s="1" t="s">
        <v>194</v>
      </c>
    </row>
    <row r="12" spans="1:44" ht="12.95" customHeight="1" x14ac:dyDescent="0.2">
      <c r="A12" s="4" t="s">
        <v>355</v>
      </c>
      <c r="B12" s="4" t="s">
        <v>356</v>
      </c>
      <c r="C12" s="3" t="s">
        <v>112</v>
      </c>
      <c r="D12" s="1" t="s">
        <v>358</v>
      </c>
      <c r="E12" s="1" t="s">
        <v>359</v>
      </c>
      <c r="F12" s="1" t="s">
        <v>360</v>
      </c>
      <c r="G12" s="1" t="s">
        <v>361</v>
      </c>
      <c r="H12" s="1" t="s">
        <v>362</v>
      </c>
      <c r="I12" s="1" t="s">
        <v>363</v>
      </c>
      <c r="J12" s="1" t="s">
        <v>364</v>
      </c>
      <c r="K12" s="1" t="s">
        <v>365</v>
      </c>
      <c r="L12" s="1" t="s">
        <v>366</v>
      </c>
      <c r="M12" s="1" t="s">
        <v>367</v>
      </c>
      <c r="N12" s="1" t="s">
        <v>368</v>
      </c>
      <c r="O12" s="1" t="s">
        <v>369</v>
      </c>
      <c r="P12" s="1" t="s">
        <v>370</v>
      </c>
      <c r="Q12" s="1" t="s">
        <v>371</v>
      </c>
      <c r="R12" s="1" t="s">
        <v>372</v>
      </c>
      <c r="S12" s="1" t="s">
        <v>373</v>
      </c>
      <c r="T12" s="1" t="s">
        <v>374</v>
      </c>
      <c r="U12" s="1" t="s">
        <v>375</v>
      </c>
      <c r="V12" s="1" t="s">
        <v>376</v>
      </c>
      <c r="W12" s="1" t="s">
        <v>377</v>
      </c>
      <c r="X12" s="1" t="s">
        <v>378</v>
      </c>
      <c r="Y12" s="1" t="s">
        <v>379</v>
      </c>
      <c r="Z12" s="1" t="s">
        <v>381</v>
      </c>
      <c r="AA12" s="1" t="s">
        <v>382</v>
      </c>
      <c r="AB12" s="1" t="s">
        <v>383</v>
      </c>
      <c r="AC12" s="1" t="s">
        <v>384</v>
      </c>
      <c r="AD12" s="1" t="s">
        <v>385</v>
      </c>
      <c r="AE12" s="1" t="s">
        <v>386</v>
      </c>
      <c r="AF12" s="1" t="s">
        <v>387</v>
      </c>
      <c r="AG12" s="1" t="s">
        <v>388</v>
      </c>
      <c r="AH12" s="1" t="s">
        <v>389</v>
      </c>
      <c r="AI12" s="1" t="s">
        <v>390</v>
      </c>
      <c r="AJ12" s="1" t="s">
        <v>391</v>
      </c>
      <c r="AK12" s="1" t="s">
        <v>393</v>
      </c>
      <c r="AL12" s="1" t="s">
        <v>394</v>
      </c>
      <c r="AM12" s="1" t="s">
        <v>395</v>
      </c>
      <c r="AN12" s="1" t="s">
        <v>396</v>
      </c>
      <c r="AO12" s="1" t="s">
        <v>397</v>
      </c>
      <c r="AP12" s="1" t="s">
        <v>398</v>
      </c>
      <c r="AQ12" s="1" t="s">
        <v>399</v>
      </c>
      <c r="AR12" s="1" t="s">
        <v>401</v>
      </c>
    </row>
    <row r="13" spans="1:44" ht="12.95" customHeight="1" x14ac:dyDescent="0.2">
      <c r="A13" s="4" t="s">
        <v>402</v>
      </c>
      <c r="B13" s="4" t="s">
        <v>403</v>
      </c>
      <c r="C13" s="3" t="s">
        <v>112</v>
      </c>
      <c r="D13" s="1" t="s">
        <v>405</v>
      </c>
      <c r="E13" s="1" t="s">
        <v>113</v>
      </c>
      <c r="F13" s="1" t="s">
        <v>113</v>
      </c>
      <c r="G13" s="1" t="s">
        <v>113</v>
      </c>
      <c r="H13" s="1" t="s">
        <v>113</v>
      </c>
      <c r="I13" s="1" t="s">
        <v>113</v>
      </c>
      <c r="J13" s="1" t="s">
        <v>113</v>
      </c>
      <c r="K13" s="1" t="s">
        <v>113</v>
      </c>
      <c r="L13" s="1" t="s">
        <v>113</v>
      </c>
      <c r="M13" s="1" t="s">
        <v>113</v>
      </c>
      <c r="N13" s="1" t="s">
        <v>113</v>
      </c>
      <c r="O13" s="1" t="s">
        <v>113</v>
      </c>
      <c r="P13" s="1" t="s">
        <v>113</v>
      </c>
      <c r="Q13" s="1" t="s">
        <v>406</v>
      </c>
      <c r="R13" s="1" t="s">
        <v>113</v>
      </c>
      <c r="S13" s="1" t="s">
        <v>113</v>
      </c>
      <c r="T13" s="1" t="s">
        <v>113</v>
      </c>
      <c r="U13" s="1" t="s">
        <v>113</v>
      </c>
      <c r="V13" s="1" t="s">
        <v>113</v>
      </c>
      <c r="W13" s="1" t="s">
        <v>113</v>
      </c>
      <c r="X13" s="1" t="s">
        <v>113</v>
      </c>
      <c r="Y13" s="1" t="s">
        <v>113</v>
      </c>
      <c r="Z13" s="1" t="s">
        <v>408</v>
      </c>
      <c r="AA13" s="1" t="s">
        <v>113</v>
      </c>
      <c r="AB13" s="1" t="s">
        <v>113</v>
      </c>
      <c r="AC13" s="1" t="s">
        <v>113</v>
      </c>
      <c r="AD13" s="1" t="s">
        <v>113</v>
      </c>
      <c r="AE13" s="1" t="s">
        <v>113</v>
      </c>
      <c r="AF13" s="1" t="s">
        <v>113</v>
      </c>
      <c r="AG13" s="1" t="s">
        <v>113</v>
      </c>
      <c r="AH13" s="1" t="s">
        <v>113</v>
      </c>
      <c r="AI13" s="1" t="s">
        <v>409</v>
      </c>
      <c r="AJ13" s="1" t="s">
        <v>410</v>
      </c>
      <c r="AK13" s="1" t="s">
        <v>220</v>
      </c>
      <c r="AL13" s="1" t="s">
        <v>113</v>
      </c>
      <c r="AM13" s="1" t="s">
        <v>113</v>
      </c>
      <c r="AN13" s="1" t="s">
        <v>113</v>
      </c>
      <c r="AO13" s="1" t="s">
        <v>113</v>
      </c>
      <c r="AP13" s="1" t="s">
        <v>113</v>
      </c>
      <c r="AQ13" s="1" t="s">
        <v>113</v>
      </c>
      <c r="AR13" s="1" t="s">
        <v>413</v>
      </c>
    </row>
    <row r="14" spans="1:44" ht="12.95" customHeight="1" x14ac:dyDescent="0.2">
      <c r="A14" s="4" t="s">
        <v>414</v>
      </c>
      <c r="B14" s="4" t="s">
        <v>415</v>
      </c>
      <c r="C14" s="3" t="s">
        <v>112</v>
      </c>
      <c r="D14" s="1" t="s">
        <v>416</v>
      </c>
      <c r="E14" s="1" t="s">
        <v>113</v>
      </c>
      <c r="F14" s="1" t="s">
        <v>113</v>
      </c>
      <c r="G14" s="1" t="s">
        <v>113</v>
      </c>
      <c r="H14" s="1" t="s">
        <v>113</v>
      </c>
      <c r="I14" s="1" t="s">
        <v>113</v>
      </c>
      <c r="J14" s="1" t="s">
        <v>113</v>
      </c>
      <c r="K14" s="1" t="s">
        <v>113</v>
      </c>
      <c r="L14" s="1" t="s">
        <v>113</v>
      </c>
      <c r="M14" s="1" t="s">
        <v>113</v>
      </c>
      <c r="N14" s="1" t="s">
        <v>113</v>
      </c>
      <c r="O14" s="1" t="s">
        <v>113</v>
      </c>
      <c r="P14" s="1" t="s">
        <v>113</v>
      </c>
      <c r="Q14" s="1" t="s">
        <v>417</v>
      </c>
      <c r="R14" s="1" t="s">
        <v>113</v>
      </c>
      <c r="S14" s="1" t="s">
        <v>113</v>
      </c>
      <c r="T14" s="1" t="s">
        <v>113</v>
      </c>
      <c r="U14" s="1" t="s">
        <v>113</v>
      </c>
      <c r="V14" s="1" t="s">
        <v>113</v>
      </c>
      <c r="W14" s="1" t="s">
        <v>113</v>
      </c>
      <c r="X14" s="1" t="s">
        <v>113</v>
      </c>
      <c r="Y14" s="1" t="s">
        <v>113</v>
      </c>
      <c r="Z14" s="1" t="s">
        <v>418</v>
      </c>
      <c r="AA14" s="1" t="s">
        <v>113</v>
      </c>
      <c r="AB14" s="1" t="s">
        <v>113</v>
      </c>
      <c r="AC14" s="1" t="s">
        <v>113</v>
      </c>
      <c r="AD14" s="1" t="s">
        <v>113</v>
      </c>
      <c r="AE14" s="1" t="s">
        <v>113</v>
      </c>
      <c r="AF14" s="1" t="s">
        <v>113</v>
      </c>
      <c r="AG14" s="1" t="s">
        <v>113</v>
      </c>
      <c r="AH14" s="1" t="s">
        <v>113</v>
      </c>
      <c r="AI14" s="1" t="s">
        <v>113</v>
      </c>
      <c r="AJ14" s="1" t="s">
        <v>113</v>
      </c>
      <c r="AK14" s="1" t="s">
        <v>419</v>
      </c>
      <c r="AL14" s="1" t="s">
        <v>113</v>
      </c>
      <c r="AM14" s="1" t="s">
        <v>113</v>
      </c>
      <c r="AN14" s="1" t="s">
        <v>113</v>
      </c>
      <c r="AO14" s="1" t="s">
        <v>113</v>
      </c>
      <c r="AP14" s="1" t="s">
        <v>113</v>
      </c>
      <c r="AQ14" s="1" t="s">
        <v>113</v>
      </c>
      <c r="AR14" s="1" t="s">
        <v>420</v>
      </c>
    </row>
    <row r="15" spans="1:44" ht="12.95" customHeight="1" x14ac:dyDescent="0.2">
      <c r="A15" s="4" t="s">
        <v>421</v>
      </c>
      <c r="B15" s="4" t="s">
        <v>422</v>
      </c>
      <c r="C15" s="3" t="s">
        <v>112</v>
      </c>
      <c r="D15" s="1" t="s">
        <v>424</v>
      </c>
      <c r="E15" s="1" t="s">
        <v>425</v>
      </c>
      <c r="F15" s="1" t="s">
        <v>113</v>
      </c>
      <c r="G15" s="1" t="s">
        <v>113</v>
      </c>
      <c r="H15" s="1" t="s">
        <v>113</v>
      </c>
      <c r="I15" s="1" t="s">
        <v>113</v>
      </c>
      <c r="J15" s="1" t="s">
        <v>113</v>
      </c>
      <c r="K15" s="1" t="s">
        <v>113</v>
      </c>
      <c r="L15" s="1" t="s">
        <v>113</v>
      </c>
      <c r="M15" s="1" t="s">
        <v>113</v>
      </c>
      <c r="N15" s="1" t="s">
        <v>113</v>
      </c>
      <c r="O15" s="1" t="s">
        <v>113</v>
      </c>
      <c r="P15" s="1" t="s">
        <v>113</v>
      </c>
      <c r="Q15" s="1" t="s">
        <v>198</v>
      </c>
      <c r="R15" s="1" t="s">
        <v>113</v>
      </c>
      <c r="S15" s="1" t="s">
        <v>113</v>
      </c>
      <c r="T15" s="1" t="s">
        <v>113</v>
      </c>
      <c r="U15" s="1" t="s">
        <v>113</v>
      </c>
      <c r="V15" s="1" t="s">
        <v>113</v>
      </c>
      <c r="W15" s="1" t="s">
        <v>113</v>
      </c>
      <c r="X15" s="1" t="s">
        <v>113</v>
      </c>
      <c r="Y15" s="1" t="s">
        <v>113</v>
      </c>
      <c r="Z15" s="1" t="s">
        <v>427</v>
      </c>
      <c r="AA15" s="1" t="s">
        <v>428</v>
      </c>
      <c r="AB15" s="1" t="s">
        <v>113</v>
      </c>
      <c r="AC15" s="1" t="s">
        <v>113</v>
      </c>
      <c r="AD15" s="1" t="s">
        <v>113</v>
      </c>
      <c r="AE15" s="1" t="s">
        <v>113</v>
      </c>
      <c r="AF15" s="1" t="s">
        <v>113</v>
      </c>
      <c r="AG15" s="1" t="s">
        <v>113</v>
      </c>
      <c r="AH15" s="1" t="s">
        <v>113</v>
      </c>
      <c r="AI15" s="1" t="s">
        <v>113</v>
      </c>
      <c r="AJ15" s="1" t="s">
        <v>429</v>
      </c>
      <c r="AK15" s="1" t="s">
        <v>324</v>
      </c>
      <c r="AL15" s="1" t="s">
        <v>431</v>
      </c>
      <c r="AM15" s="1" t="s">
        <v>113</v>
      </c>
      <c r="AN15" s="1" t="s">
        <v>113</v>
      </c>
      <c r="AO15" s="1" t="s">
        <v>113</v>
      </c>
      <c r="AP15" s="1" t="s">
        <v>113</v>
      </c>
      <c r="AQ15" s="1" t="s">
        <v>113</v>
      </c>
      <c r="AR15" s="1" t="s">
        <v>149</v>
      </c>
    </row>
    <row r="16" spans="1:44" ht="12.95" customHeight="1" x14ac:dyDescent="0.2">
      <c r="A16" s="4" t="s">
        <v>433</v>
      </c>
      <c r="B16" s="4" t="s">
        <v>434</v>
      </c>
      <c r="C16" s="3" t="s">
        <v>112</v>
      </c>
      <c r="D16" s="1" t="s">
        <v>435</v>
      </c>
      <c r="E16" s="1" t="s">
        <v>113</v>
      </c>
      <c r="F16" s="1" t="s">
        <v>436</v>
      </c>
      <c r="G16" s="1" t="s">
        <v>437</v>
      </c>
      <c r="H16" s="1" t="s">
        <v>438</v>
      </c>
      <c r="I16" s="1" t="s">
        <v>439</v>
      </c>
      <c r="J16" s="1" t="s">
        <v>440</v>
      </c>
      <c r="K16" s="1" t="s">
        <v>441</v>
      </c>
      <c r="L16" s="1" t="s">
        <v>442</v>
      </c>
      <c r="M16" s="1" t="s">
        <v>443</v>
      </c>
      <c r="N16" s="1" t="s">
        <v>444</v>
      </c>
      <c r="O16" s="1" t="s">
        <v>445</v>
      </c>
      <c r="P16" s="1" t="s">
        <v>446</v>
      </c>
      <c r="Q16" s="1" t="s">
        <v>447</v>
      </c>
      <c r="R16" s="1" t="s">
        <v>448</v>
      </c>
      <c r="S16" s="1" t="s">
        <v>449</v>
      </c>
      <c r="T16" s="1" t="s">
        <v>450</v>
      </c>
      <c r="U16" s="1" t="s">
        <v>451</v>
      </c>
      <c r="V16" s="1" t="s">
        <v>452</v>
      </c>
      <c r="W16" s="1" t="s">
        <v>453</v>
      </c>
      <c r="X16" s="1" t="s">
        <v>454</v>
      </c>
      <c r="Y16" s="1" t="s">
        <v>455</v>
      </c>
      <c r="Z16" s="1" t="s">
        <v>456</v>
      </c>
      <c r="AA16" s="1" t="s">
        <v>113</v>
      </c>
      <c r="AB16" s="1" t="s">
        <v>457</v>
      </c>
      <c r="AC16" s="1" t="s">
        <v>458</v>
      </c>
      <c r="AD16" s="1" t="s">
        <v>459</v>
      </c>
      <c r="AE16" s="1" t="s">
        <v>460</v>
      </c>
      <c r="AF16" s="1" t="s">
        <v>113</v>
      </c>
      <c r="AG16" s="1" t="s">
        <v>113</v>
      </c>
      <c r="AH16" s="1" t="s">
        <v>113</v>
      </c>
      <c r="AI16" s="1" t="s">
        <v>429</v>
      </c>
      <c r="AJ16" s="1" t="s">
        <v>461</v>
      </c>
      <c r="AK16" s="1" t="s">
        <v>462</v>
      </c>
      <c r="AL16" s="1" t="s">
        <v>113</v>
      </c>
      <c r="AM16" s="1" t="s">
        <v>463</v>
      </c>
      <c r="AN16" s="1" t="s">
        <v>464</v>
      </c>
      <c r="AO16" s="1" t="s">
        <v>465</v>
      </c>
      <c r="AP16" s="1" t="s">
        <v>466</v>
      </c>
      <c r="AQ16" s="1" t="s">
        <v>467</v>
      </c>
      <c r="AR16" s="1" t="s">
        <v>381</v>
      </c>
    </row>
    <row r="17" spans="1:44" ht="12.95" customHeight="1" x14ac:dyDescent="0.2">
      <c r="A17" s="4" t="s">
        <v>468</v>
      </c>
      <c r="B17" s="4" t="s">
        <v>469</v>
      </c>
      <c r="C17" s="3" t="s">
        <v>112</v>
      </c>
      <c r="D17" s="1" t="s">
        <v>470</v>
      </c>
      <c r="E17" s="1" t="s">
        <v>113</v>
      </c>
      <c r="F17" s="1" t="s">
        <v>113</v>
      </c>
      <c r="G17" s="1" t="s">
        <v>113</v>
      </c>
      <c r="H17" s="1" t="s">
        <v>113</v>
      </c>
      <c r="I17" s="1" t="s">
        <v>113</v>
      </c>
      <c r="J17" s="1" t="s">
        <v>113</v>
      </c>
      <c r="K17" s="1" t="s">
        <v>113</v>
      </c>
      <c r="L17" s="1" t="s">
        <v>113</v>
      </c>
      <c r="M17" s="1" t="s">
        <v>113</v>
      </c>
      <c r="N17" s="1" t="s">
        <v>113</v>
      </c>
      <c r="O17" s="1" t="s">
        <v>113</v>
      </c>
      <c r="P17" s="1" t="s">
        <v>113</v>
      </c>
      <c r="Q17" s="1" t="s">
        <v>471</v>
      </c>
      <c r="R17" s="1" t="s">
        <v>113</v>
      </c>
      <c r="S17" s="1" t="s">
        <v>113</v>
      </c>
      <c r="T17" s="1" t="s">
        <v>113</v>
      </c>
      <c r="U17" s="1" t="s">
        <v>113</v>
      </c>
      <c r="V17" s="1" t="s">
        <v>113</v>
      </c>
      <c r="W17" s="1" t="s">
        <v>113</v>
      </c>
      <c r="X17" s="1" t="s">
        <v>113</v>
      </c>
      <c r="Y17" s="1" t="s">
        <v>113</v>
      </c>
      <c r="Z17" s="1" t="s">
        <v>345</v>
      </c>
      <c r="AA17" s="1" t="s">
        <v>113</v>
      </c>
      <c r="AB17" s="1" t="s">
        <v>113</v>
      </c>
      <c r="AC17" s="1" t="s">
        <v>113</v>
      </c>
      <c r="AD17" s="1" t="s">
        <v>113</v>
      </c>
      <c r="AE17" s="1" t="s">
        <v>113</v>
      </c>
      <c r="AF17" s="1" t="s">
        <v>113</v>
      </c>
      <c r="AG17" s="1" t="s">
        <v>113</v>
      </c>
      <c r="AH17" s="1" t="s">
        <v>113</v>
      </c>
      <c r="AI17" s="1" t="s">
        <v>113</v>
      </c>
      <c r="AJ17" s="1" t="s">
        <v>113</v>
      </c>
      <c r="AK17" s="1" t="s">
        <v>472</v>
      </c>
      <c r="AL17" s="1" t="s">
        <v>113</v>
      </c>
      <c r="AM17" s="1" t="s">
        <v>113</v>
      </c>
      <c r="AN17" s="1" t="s">
        <v>113</v>
      </c>
      <c r="AO17" s="1" t="s">
        <v>113</v>
      </c>
      <c r="AP17" s="1" t="s">
        <v>113</v>
      </c>
      <c r="AQ17" s="1" t="s">
        <v>113</v>
      </c>
      <c r="AR17" s="1" t="s">
        <v>473</v>
      </c>
    </row>
    <row r="18" spans="1:44" ht="12.95" customHeight="1" x14ac:dyDescent="0.2">
      <c r="A18" s="4" t="s">
        <v>474</v>
      </c>
      <c r="B18" s="4" t="s">
        <v>475</v>
      </c>
      <c r="C18" s="3" t="s">
        <v>112</v>
      </c>
      <c r="D18" s="1" t="s">
        <v>476</v>
      </c>
      <c r="E18" s="1" t="s">
        <v>113</v>
      </c>
      <c r="F18" s="1" t="s">
        <v>113</v>
      </c>
      <c r="G18" s="1" t="s">
        <v>113</v>
      </c>
      <c r="H18" s="1" t="s">
        <v>113</v>
      </c>
      <c r="I18" s="1" t="s">
        <v>113</v>
      </c>
      <c r="J18" s="1" t="s">
        <v>113</v>
      </c>
      <c r="K18" s="1" t="s">
        <v>113</v>
      </c>
      <c r="L18" s="1" t="s">
        <v>113</v>
      </c>
      <c r="M18" s="1" t="s">
        <v>113</v>
      </c>
      <c r="N18" s="1" t="s">
        <v>113</v>
      </c>
      <c r="O18" s="1" t="s">
        <v>113</v>
      </c>
      <c r="P18" s="1" t="s">
        <v>113</v>
      </c>
      <c r="Q18" s="1" t="s">
        <v>477</v>
      </c>
      <c r="R18" s="1" t="s">
        <v>113</v>
      </c>
      <c r="S18" s="1" t="s">
        <v>113</v>
      </c>
      <c r="T18" s="1" t="s">
        <v>113</v>
      </c>
      <c r="U18" s="1" t="s">
        <v>113</v>
      </c>
      <c r="V18" s="1" t="s">
        <v>113</v>
      </c>
      <c r="W18" s="1" t="s">
        <v>113</v>
      </c>
      <c r="X18" s="1" t="s">
        <v>113</v>
      </c>
      <c r="Y18" s="1" t="s">
        <v>113</v>
      </c>
      <c r="Z18" s="1" t="s">
        <v>478</v>
      </c>
      <c r="AA18" s="1" t="s">
        <v>113</v>
      </c>
      <c r="AB18" s="1" t="s">
        <v>113</v>
      </c>
      <c r="AC18" s="1" t="s">
        <v>113</v>
      </c>
      <c r="AD18" s="1" t="s">
        <v>113</v>
      </c>
      <c r="AE18" s="1" t="s">
        <v>113</v>
      </c>
      <c r="AF18" s="1" t="s">
        <v>113</v>
      </c>
      <c r="AG18" s="1" t="s">
        <v>113</v>
      </c>
      <c r="AH18" s="1" t="s">
        <v>113</v>
      </c>
      <c r="AI18" s="1" t="s">
        <v>113</v>
      </c>
      <c r="AJ18" s="1" t="s">
        <v>113</v>
      </c>
      <c r="AK18" s="1" t="s">
        <v>479</v>
      </c>
      <c r="AL18" s="1" t="s">
        <v>113</v>
      </c>
      <c r="AM18" s="1" t="s">
        <v>113</v>
      </c>
      <c r="AN18" s="1" t="s">
        <v>113</v>
      </c>
      <c r="AO18" s="1" t="s">
        <v>113</v>
      </c>
      <c r="AP18" s="1" t="s">
        <v>113</v>
      </c>
      <c r="AQ18" s="1" t="s">
        <v>113</v>
      </c>
      <c r="AR18" s="1" t="s">
        <v>276</v>
      </c>
    </row>
    <row r="19" spans="1:44" ht="12.95" customHeight="1" x14ac:dyDescent="0.2">
      <c r="A19" s="4" t="s">
        <v>480</v>
      </c>
      <c r="B19" s="4" t="s">
        <v>481</v>
      </c>
      <c r="C19" s="3" t="s">
        <v>112</v>
      </c>
      <c r="D19" s="1" t="s">
        <v>482</v>
      </c>
      <c r="E19" s="1" t="s">
        <v>113</v>
      </c>
      <c r="F19" s="1" t="s">
        <v>113</v>
      </c>
      <c r="G19" s="1" t="s">
        <v>113</v>
      </c>
      <c r="H19" s="1" t="s">
        <v>113</v>
      </c>
      <c r="I19" s="1" t="s">
        <v>113</v>
      </c>
      <c r="J19" s="1" t="s">
        <v>113</v>
      </c>
      <c r="K19" s="1" t="s">
        <v>113</v>
      </c>
      <c r="L19" s="1" t="s">
        <v>113</v>
      </c>
      <c r="M19" s="1" t="s">
        <v>113</v>
      </c>
      <c r="N19" s="1" t="s">
        <v>113</v>
      </c>
      <c r="O19" s="1" t="s">
        <v>113</v>
      </c>
      <c r="P19" s="1" t="s">
        <v>113</v>
      </c>
      <c r="Q19" s="1" t="s">
        <v>483</v>
      </c>
      <c r="R19" s="1" t="s">
        <v>113</v>
      </c>
      <c r="S19" s="1" t="s">
        <v>113</v>
      </c>
      <c r="T19" s="1" t="s">
        <v>113</v>
      </c>
      <c r="U19" s="1" t="s">
        <v>113</v>
      </c>
      <c r="V19" s="1" t="s">
        <v>113</v>
      </c>
      <c r="W19" s="1" t="s">
        <v>113</v>
      </c>
      <c r="X19" s="1" t="s">
        <v>113</v>
      </c>
      <c r="Y19" s="1" t="s">
        <v>113</v>
      </c>
      <c r="Z19" s="1" t="s">
        <v>484</v>
      </c>
      <c r="AA19" s="1" t="s">
        <v>485</v>
      </c>
      <c r="AB19" s="1" t="s">
        <v>486</v>
      </c>
      <c r="AC19" s="1" t="s">
        <v>487</v>
      </c>
      <c r="AD19" s="1" t="s">
        <v>488</v>
      </c>
      <c r="AE19" s="1" t="s">
        <v>489</v>
      </c>
      <c r="AF19" s="1" t="s">
        <v>113</v>
      </c>
      <c r="AG19" s="1" t="s">
        <v>113</v>
      </c>
      <c r="AH19" s="1" t="s">
        <v>113</v>
      </c>
      <c r="AI19" s="1" t="s">
        <v>113</v>
      </c>
      <c r="AJ19" s="1" t="s">
        <v>490</v>
      </c>
      <c r="AK19" s="1" t="s">
        <v>491</v>
      </c>
      <c r="AL19" s="1" t="s">
        <v>113</v>
      </c>
      <c r="AM19" s="1" t="s">
        <v>113</v>
      </c>
      <c r="AN19" s="1" t="s">
        <v>113</v>
      </c>
      <c r="AO19" s="1" t="s">
        <v>113</v>
      </c>
      <c r="AP19" s="1" t="s">
        <v>113</v>
      </c>
      <c r="AQ19" s="1" t="s">
        <v>113</v>
      </c>
      <c r="AR19" s="1" t="s">
        <v>492</v>
      </c>
    </row>
    <row r="20" spans="1:44" ht="12.95" customHeight="1" x14ac:dyDescent="0.2">
      <c r="A20" s="4"/>
      <c r="B20" s="4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</row>
    <row r="21" spans="1:44" x14ac:dyDescent="0.2">
      <c r="D21" s="6" t="s">
        <v>1</v>
      </c>
      <c r="E21" s="6" t="s">
        <v>2</v>
      </c>
      <c r="F21" s="6" t="s">
        <v>4</v>
      </c>
      <c r="G21" s="6" t="s">
        <v>6</v>
      </c>
      <c r="H21" s="6" t="s">
        <v>8</v>
      </c>
      <c r="I21" s="6" t="s">
        <v>10</v>
      </c>
      <c r="J21" s="6" t="s">
        <v>12</v>
      </c>
      <c r="K21" s="6" t="s">
        <v>14</v>
      </c>
      <c r="L21" s="6" t="s">
        <v>16</v>
      </c>
      <c r="M21" s="6" t="s">
        <v>18</v>
      </c>
      <c r="N21" s="6" t="s">
        <v>20</v>
      </c>
      <c r="O21" s="6" t="s">
        <v>22</v>
      </c>
      <c r="P21" s="6" t="s">
        <v>24</v>
      </c>
      <c r="Q21" s="6" t="s">
        <v>1</v>
      </c>
      <c r="R21" s="6" t="s">
        <v>26</v>
      </c>
      <c r="S21" s="6" t="s">
        <v>28</v>
      </c>
      <c r="T21" s="6" t="s">
        <v>30</v>
      </c>
      <c r="U21" s="6" t="s">
        <v>32</v>
      </c>
      <c r="V21" s="6" t="s">
        <v>34</v>
      </c>
      <c r="W21" s="6" t="s">
        <v>36</v>
      </c>
      <c r="X21" s="6" t="s">
        <v>38</v>
      </c>
      <c r="Y21" s="6" t="s">
        <v>40</v>
      </c>
      <c r="Z21" s="6" t="s">
        <v>1</v>
      </c>
      <c r="AA21" s="6" t="s">
        <v>42</v>
      </c>
      <c r="AB21" s="6" t="s">
        <v>44</v>
      </c>
      <c r="AC21" s="6" t="s">
        <v>46</v>
      </c>
      <c r="AD21" s="6" t="s">
        <v>48</v>
      </c>
      <c r="AE21" s="6" t="s">
        <v>50</v>
      </c>
      <c r="AF21" s="6" t="s">
        <v>52</v>
      </c>
      <c r="AG21" s="6" t="s">
        <v>54</v>
      </c>
      <c r="AH21" s="6" t="s">
        <v>56</v>
      </c>
      <c r="AI21" s="6" t="s">
        <v>58</v>
      </c>
      <c r="AJ21" s="6" t="s">
        <v>60</v>
      </c>
      <c r="AK21" s="6" t="s">
        <v>1</v>
      </c>
      <c r="AL21" s="6" t="s">
        <v>62</v>
      </c>
      <c r="AM21" s="6" t="s">
        <v>64</v>
      </c>
      <c r="AN21" s="6" t="s">
        <v>66</v>
      </c>
      <c r="AO21" s="6" t="s">
        <v>68</v>
      </c>
      <c r="AP21" s="6" t="s">
        <v>70</v>
      </c>
      <c r="AQ21" s="6" t="s">
        <v>72</v>
      </c>
      <c r="AR21" s="6" t="s">
        <v>1</v>
      </c>
    </row>
    <row r="22" spans="1:44" x14ac:dyDescent="0.2"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1:44" x14ac:dyDescent="0.2">
      <c r="E23" s="3" t="s">
        <v>3</v>
      </c>
      <c r="F23" s="3" t="s">
        <v>5</v>
      </c>
      <c r="G23" s="3" t="s">
        <v>7</v>
      </c>
      <c r="H23" s="3" t="s">
        <v>9</v>
      </c>
      <c r="I23" s="3" t="s">
        <v>11</v>
      </c>
      <c r="J23" s="3" t="s">
        <v>13</v>
      </c>
      <c r="K23" s="3" t="s">
        <v>15</v>
      </c>
      <c r="L23" s="3" t="s">
        <v>17</v>
      </c>
      <c r="M23" s="3" t="s">
        <v>19</v>
      </c>
      <c r="N23" s="3" t="s">
        <v>21</v>
      </c>
      <c r="O23" s="3" t="s">
        <v>23</v>
      </c>
      <c r="P23" s="3" t="s">
        <v>25</v>
      </c>
      <c r="R23" s="3" t="s">
        <v>27</v>
      </c>
      <c r="S23" s="3" t="s">
        <v>29</v>
      </c>
      <c r="T23" s="3" t="s">
        <v>31</v>
      </c>
      <c r="U23" s="3" t="s">
        <v>33</v>
      </c>
      <c r="V23" s="3" t="s">
        <v>35</v>
      </c>
      <c r="W23" s="3" t="s">
        <v>37</v>
      </c>
      <c r="X23" s="3" t="s">
        <v>39</v>
      </c>
      <c r="Y23" s="3" t="s">
        <v>41</v>
      </c>
      <c r="AA23" s="3" t="s">
        <v>43</v>
      </c>
      <c r="AB23" s="3" t="s">
        <v>45</v>
      </c>
      <c r="AC23" s="3" t="s">
        <v>47</v>
      </c>
      <c r="AD23" s="3" t="s">
        <v>49</v>
      </c>
      <c r="AE23" s="3" t="s">
        <v>51</v>
      </c>
      <c r="AF23" s="3" t="s">
        <v>53</v>
      </c>
      <c r="AG23" s="3" t="s">
        <v>55</v>
      </c>
      <c r="AH23" s="3" t="s">
        <v>57</v>
      </c>
      <c r="AI23" s="3" t="s">
        <v>59</v>
      </c>
      <c r="AJ23" s="3" t="s">
        <v>61</v>
      </c>
      <c r="AL23" s="3" t="s">
        <v>63</v>
      </c>
      <c r="AM23" s="3" t="s">
        <v>65</v>
      </c>
      <c r="AN23" s="3" t="s">
        <v>67</v>
      </c>
      <c r="AO23" s="3" t="s">
        <v>69</v>
      </c>
      <c r="AP23" s="3" t="s">
        <v>71</v>
      </c>
      <c r="AQ23" s="3" t="s">
        <v>73</v>
      </c>
    </row>
    <row r="24" spans="1:44" x14ac:dyDescent="0.2">
      <c r="D24" s="3">
        <v>1</v>
      </c>
      <c r="E24" s="3">
        <v>40</v>
      </c>
      <c r="F24" s="3">
        <v>40</v>
      </c>
      <c r="G24" s="3">
        <v>40</v>
      </c>
      <c r="H24" s="3">
        <v>40</v>
      </c>
      <c r="I24" s="3">
        <v>40</v>
      </c>
      <c r="J24" s="3">
        <v>40</v>
      </c>
      <c r="K24" s="3">
        <v>40</v>
      </c>
      <c r="L24" s="3">
        <v>40</v>
      </c>
      <c r="M24" s="3">
        <v>40</v>
      </c>
      <c r="N24" s="3">
        <v>40</v>
      </c>
      <c r="O24" s="3">
        <v>40</v>
      </c>
      <c r="P24" s="3">
        <v>40</v>
      </c>
      <c r="Q24" s="3">
        <v>1</v>
      </c>
      <c r="R24" s="3">
        <v>40</v>
      </c>
      <c r="S24" s="3">
        <v>40</v>
      </c>
      <c r="T24" s="3">
        <v>40</v>
      </c>
      <c r="U24" s="3">
        <v>40</v>
      </c>
      <c r="V24" s="3">
        <v>40</v>
      </c>
      <c r="W24" s="3">
        <v>40</v>
      </c>
      <c r="X24" s="3">
        <v>40</v>
      </c>
      <c r="Y24" s="3">
        <v>40</v>
      </c>
      <c r="Z24" s="3">
        <v>1</v>
      </c>
      <c r="AA24" s="3">
        <v>10</v>
      </c>
      <c r="AB24" s="3">
        <v>10</v>
      </c>
      <c r="AC24" s="3">
        <v>10</v>
      </c>
      <c r="AD24" s="3">
        <v>10</v>
      </c>
      <c r="AE24" s="3">
        <v>10</v>
      </c>
      <c r="AF24" s="3">
        <v>10</v>
      </c>
      <c r="AG24" s="3">
        <v>10</v>
      </c>
      <c r="AH24" s="3">
        <v>10</v>
      </c>
      <c r="AI24" s="3">
        <v>10</v>
      </c>
      <c r="AJ24" s="3">
        <v>10</v>
      </c>
      <c r="AK24" s="3">
        <v>1</v>
      </c>
      <c r="AL24" s="3">
        <v>40</v>
      </c>
      <c r="AM24" s="3">
        <v>40</v>
      </c>
      <c r="AN24" s="3">
        <v>40</v>
      </c>
      <c r="AO24" s="3">
        <v>40</v>
      </c>
      <c r="AP24" s="3">
        <v>40</v>
      </c>
      <c r="AQ24" s="3">
        <v>40</v>
      </c>
      <c r="AR24" s="3">
        <v>1</v>
      </c>
    </row>
    <row r="25" spans="1:44" x14ac:dyDescent="0.2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15"/>
      <c r="AJ25" s="15"/>
      <c r="AK25" s="3"/>
      <c r="AL25" s="3"/>
      <c r="AM25" s="3"/>
      <c r="AN25" s="3"/>
      <c r="AO25" s="3"/>
      <c r="AP25" s="3"/>
      <c r="AQ25" s="3"/>
      <c r="AR25" s="3"/>
    </row>
    <row r="26" spans="1:44" x14ac:dyDescent="0.2"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x14ac:dyDescent="0.2">
      <c r="AI27" s="15"/>
      <c r="AJ27" s="15"/>
    </row>
    <row r="28" spans="1:44" ht="33.75" x14ac:dyDescent="0.2">
      <c r="A28" s="5"/>
      <c r="B28" s="5"/>
      <c r="C28" s="5"/>
      <c r="D28" s="4" t="s">
        <v>75</v>
      </c>
      <c r="E28" s="4" t="s">
        <v>76</v>
      </c>
      <c r="F28" s="4" t="s">
        <v>77</v>
      </c>
      <c r="G28" s="4" t="s">
        <v>78</v>
      </c>
      <c r="H28" s="4" t="s">
        <v>79</v>
      </c>
      <c r="I28" s="4" t="s">
        <v>80</v>
      </c>
      <c r="J28" s="4" t="s">
        <v>81</v>
      </c>
      <c r="K28" s="4" t="s">
        <v>82</v>
      </c>
      <c r="L28" s="4" t="s">
        <v>83</v>
      </c>
      <c r="M28" s="4" t="s">
        <v>84</v>
      </c>
      <c r="N28" s="4" t="s">
        <v>85</v>
      </c>
      <c r="O28" s="4" t="s">
        <v>86</v>
      </c>
      <c r="P28" s="4" t="s">
        <v>87</v>
      </c>
      <c r="Q28" s="4" t="s">
        <v>75</v>
      </c>
      <c r="R28" s="4" t="s">
        <v>88</v>
      </c>
      <c r="S28" s="4" t="s">
        <v>89</v>
      </c>
      <c r="T28" s="4" t="s">
        <v>90</v>
      </c>
      <c r="U28" s="4" t="s">
        <v>91</v>
      </c>
      <c r="V28" s="4" t="s">
        <v>92</v>
      </c>
      <c r="W28" s="4" t="s">
        <v>93</v>
      </c>
      <c r="X28" s="4" t="s">
        <v>94</v>
      </c>
      <c r="Y28" s="4" t="s">
        <v>95</v>
      </c>
      <c r="Z28" s="4" t="s">
        <v>75</v>
      </c>
      <c r="AA28" s="4" t="s">
        <v>96</v>
      </c>
      <c r="AB28" s="4" t="s">
        <v>97</v>
      </c>
      <c r="AC28" s="4" t="s">
        <v>98</v>
      </c>
      <c r="AD28" s="4" t="s">
        <v>99</v>
      </c>
      <c r="AE28" s="4" t="s">
        <v>100</v>
      </c>
      <c r="AF28" s="4" t="s">
        <v>101</v>
      </c>
      <c r="AG28" s="4" t="s">
        <v>102</v>
      </c>
      <c r="AH28" s="4" t="s">
        <v>103</v>
      </c>
      <c r="AI28" s="4" t="s">
        <v>104</v>
      </c>
      <c r="AJ28" s="4" t="s">
        <v>105</v>
      </c>
      <c r="AK28" s="4" t="s">
        <v>75</v>
      </c>
      <c r="AL28" s="4" t="s">
        <v>106</v>
      </c>
      <c r="AM28" s="4" t="s">
        <v>107</v>
      </c>
      <c r="AN28" s="4" t="s">
        <v>108</v>
      </c>
      <c r="AO28" s="4" t="s">
        <v>109</v>
      </c>
      <c r="AP28" s="4" t="s">
        <v>110</v>
      </c>
      <c r="AQ28" s="4" t="s">
        <v>111</v>
      </c>
      <c r="AR28" s="4" t="s">
        <v>75</v>
      </c>
    </row>
    <row r="29" spans="1:44" x14ac:dyDescent="0.2">
      <c r="A29" s="4" t="s">
        <v>129</v>
      </c>
      <c r="B29" s="4" t="s">
        <v>130</v>
      </c>
      <c r="C29" s="3" t="s">
        <v>493</v>
      </c>
      <c r="D29" s="1">
        <v>459</v>
      </c>
      <c r="E29" s="1">
        <v>3.883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396.7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383.3</v>
      </c>
      <c r="AA29" s="1">
        <v>31.54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380.7</v>
      </c>
      <c r="AL29" s="1">
        <v>3.645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379.5</v>
      </c>
    </row>
    <row r="30" spans="1:44" x14ac:dyDescent="0.2">
      <c r="A30" s="4" t="s">
        <v>139</v>
      </c>
      <c r="B30" s="4" t="s">
        <v>140</v>
      </c>
      <c r="C30" s="3" t="s">
        <v>493</v>
      </c>
      <c r="D30" s="1">
        <v>249.8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217.6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211.9</v>
      </c>
      <c r="AA30" s="1">
        <v>15.4</v>
      </c>
      <c r="AB30" s="1">
        <v>0</v>
      </c>
      <c r="AC30" s="1">
        <v>2.8919999999999999</v>
      </c>
      <c r="AD30" s="1">
        <v>3.1360000000000001</v>
      </c>
      <c r="AE30" s="1">
        <v>2.5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210.9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210.3</v>
      </c>
    </row>
    <row r="31" spans="1:44" x14ac:dyDescent="0.2">
      <c r="A31" s="4" t="s">
        <v>150</v>
      </c>
      <c r="B31" s="4" t="s">
        <v>151</v>
      </c>
      <c r="C31" s="3" t="s">
        <v>493</v>
      </c>
      <c r="D31" s="1">
        <v>418.3</v>
      </c>
      <c r="E31" s="1">
        <v>126.4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361.4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349.1</v>
      </c>
      <c r="AA31" s="1">
        <v>913.2</v>
      </c>
      <c r="AB31" s="1">
        <v>6.1059999999999999</v>
      </c>
      <c r="AC31" s="1">
        <v>5.7510000000000003</v>
      </c>
      <c r="AD31" s="1">
        <v>9.1069999999999993</v>
      </c>
      <c r="AE31" s="1">
        <v>6.6559999999999997</v>
      </c>
      <c r="AF31" s="1">
        <v>0</v>
      </c>
      <c r="AG31" s="1">
        <v>0</v>
      </c>
      <c r="AH31" s="1">
        <v>0</v>
      </c>
      <c r="AI31" s="1">
        <v>0</v>
      </c>
      <c r="AJ31" s="1">
        <v>4.4509999999999996</v>
      </c>
      <c r="AK31" s="1">
        <v>346.8</v>
      </c>
      <c r="AL31" s="1">
        <v>118.4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345.6</v>
      </c>
    </row>
    <row r="32" spans="1:44" x14ac:dyDescent="0.2">
      <c r="A32" s="4" t="s">
        <v>169</v>
      </c>
      <c r="B32" s="4" t="s">
        <v>170</v>
      </c>
      <c r="C32" s="3" t="s">
        <v>493</v>
      </c>
      <c r="D32" s="1">
        <v>423.9</v>
      </c>
      <c r="E32" s="1">
        <v>2.8069999999999999</v>
      </c>
      <c r="F32" s="1">
        <v>4.3840000000000003</v>
      </c>
      <c r="G32" s="1">
        <v>4.1059999999999999</v>
      </c>
      <c r="H32" s="1">
        <v>4.0999999999999996</v>
      </c>
      <c r="I32" s="1">
        <v>4.1710000000000003</v>
      </c>
      <c r="J32" s="1">
        <v>3.92</v>
      </c>
      <c r="K32" s="1">
        <v>4.7930000000000001</v>
      </c>
      <c r="L32" s="1">
        <v>3.6539999999999999</v>
      </c>
      <c r="M32" s="1">
        <v>4.2839999999999998</v>
      </c>
      <c r="N32" s="1">
        <v>4.5949999999999998</v>
      </c>
      <c r="O32" s="1">
        <v>4.6920000000000002</v>
      </c>
      <c r="P32" s="1">
        <v>3.4430000000000001</v>
      </c>
      <c r="Q32" s="1">
        <v>365.3</v>
      </c>
      <c r="R32" s="1">
        <v>4.0049999999999999</v>
      </c>
      <c r="S32" s="1">
        <v>3.9489999999999998</v>
      </c>
      <c r="T32" s="1">
        <v>4.069</v>
      </c>
      <c r="U32" s="1">
        <v>4.2270000000000003</v>
      </c>
      <c r="V32" s="1">
        <v>4.0759999999999996</v>
      </c>
      <c r="W32" s="1">
        <v>3.1840000000000002</v>
      </c>
      <c r="X32" s="1">
        <v>4.0979999999999999</v>
      </c>
      <c r="Y32" s="1">
        <v>3.7829999999999999</v>
      </c>
      <c r="Z32" s="1">
        <v>352.8</v>
      </c>
      <c r="AA32" s="1">
        <v>21.62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350.6</v>
      </c>
      <c r="AL32" s="1">
        <v>2.589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349.4</v>
      </c>
    </row>
    <row r="33" spans="1:44" x14ac:dyDescent="0.2">
      <c r="A33" s="4" t="s">
        <v>196</v>
      </c>
      <c r="B33" s="4" t="s">
        <v>197</v>
      </c>
      <c r="C33" s="3" t="s">
        <v>493</v>
      </c>
      <c r="D33" s="1">
        <v>232.2</v>
      </c>
      <c r="E33" s="1">
        <v>2.8860000000000001</v>
      </c>
      <c r="F33" s="1">
        <v>27.9</v>
      </c>
      <c r="G33" s="1">
        <v>27.31</v>
      </c>
      <c r="H33" s="1">
        <v>26.41</v>
      </c>
      <c r="I33" s="1">
        <v>27.14</v>
      </c>
      <c r="J33" s="1">
        <v>24.74</v>
      </c>
      <c r="K33" s="1">
        <v>30.76</v>
      </c>
      <c r="L33" s="1">
        <v>27.12</v>
      </c>
      <c r="M33" s="1">
        <v>28.03</v>
      </c>
      <c r="N33" s="1">
        <v>29.28</v>
      </c>
      <c r="O33" s="1">
        <v>28.54</v>
      </c>
      <c r="P33" s="1">
        <v>24.84</v>
      </c>
      <c r="Q33" s="1">
        <v>201.6</v>
      </c>
      <c r="R33" s="1">
        <v>25.86</v>
      </c>
      <c r="S33" s="1">
        <v>25.86</v>
      </c>
      <c r="T33" s="1">
        <v>29.49</v>
      </c>
      <c r="U33" s="1">
        <v>25.64</v>
      </c>
      <c r="V33" s="1">
        <v>26.7</v>
      </c>
      <c r="W33" s="1">
        <v>25.46</v>
      </c>
      <c r="X33" s="1">
        <v>26.68</v>
      </c>
      <c r="Y33" s="1">
        <v>24.79</v>
      </c>
      <c r="Z33" s="1">
        <v>195.8</v>
      </c>
      <c r="AA33" s="1">
        <v>22.55</v>
      </c>
      <c r="AB33" s="1">
        <v>132</v>
      </c>
      <c r="AC33" s="1">
        <v>125.6</v>
      </c>
      <c r="AD33" s="1">
        <v>138</v>
      </c>
      <c r="AE33" s="1">
        <v>142.4</v>
      </c>
      <c r="AF33" s="1">
        <v>14.68</v>
      </c>
      <c r="AG33" s="1">
        <v>13.37</v>
      </c>
      <c r="AH33" s="1">
        <v>13.3</v>
      </c>
      <c r="AI33" s="1">
        <v>21.28</v>
      </c>
      <c r="AJ33" s="1">
        <v>61.92</v>
      </c>
      <c r="AK33" s="1">
        <v>194.7</v>
      </c>
      <c r="AL33" s="1">
        <v>2.8050000000000002</v>
      </c>
      <c r="AM33" s="1">
        <v>35.74</v>
      </c>
      <c r="AN33" s="1">
        <v>42.47</v>
      </c>
      <c r="AO33" s="1">
        <v>35.270000000000003</v>
      </c>
      <c r="AP33" s="1">
        <v>37.6</v>
      </c>
      <c r="AQ33" s="1">
        <v>22.08</v>
      </c>
      <c r="AR33" s="1">
        <v>194.3</v>
      </c>
    </row>
    <row r="34" spans="1:44" x14ac:dyDescent="0.2">
      <c r="A34" s="4" t="s">
        <v>237</v>
      </c>
      <c r="B34" s="4" t="s">
        <v>238</v>
      </c>
      <c r="C34" s="3" t="s">
        <v>493</v>
      </c>
      <c r="D34" s="1">
        <v>228.4</v>
      </c>
      <c r="E34" s="1">
        <v>93.16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199.3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193.9</v>
      </c>
      <c r="AA34" s="1">
        <v>750.3</v>
      </c>
      <c r="AB34" s="1">
        <v>12.64</v>
      </c>
      <c r="AC34" s="1">
        <v>12.11</v>
      </c>
      <c r="AD34" s="1">
        <v>13.48</v>
      </c>
      <c r="AE34" s="1">
        <v>14.07</v>
      </c>
      <c r="AF34" s="1">
        <v>0</v>
      </c>
      <c r="AG34" s="1">
        <v>0</v>
      </c>
      <c r="AH34" s="1">
        <v>0</v>
      </c>
      <c r="AI34" s="1">
        <v>4.3620000000000001</v>
      </c>
      <c r="AJ34" s="1">
        <v>12.21</v>
      </c>
      <c r="AK34" s="1">
        <v>192.8</v>
      </c>
      <c r="AL34" s="1">
        <v>85.6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192.4</v>
      </c>
    </row>
    <row r="35" spans="1:44" x14ac:dyDescent="0.2">
      <c r="A35" s="4" t="s">
        <v>254</v>
      </c>
      <c r="B35" s="4" t="s">
        <v>255</v>
      </c>
      <c r="C35" s="3" t="s">
        <v>493</v>
      </c>
      <c r="D35" s="1">
        <v>225.1</v>
      </c>
      <c r="E35" s="1">
        <v>0</v>
      </c>
      <c r="F35" s="1">
        <v>5.51</v>
      </c>
      <c r="G35" s="1">
        <v>5.1310000000000002</v>
      </c>
      <c r="H35" s="1">
        <v>4.7089999999999996</v>
      </c>
      <c r="I35" s="1">
        <v>5.1580000000000004</v>
      </c>
      <c r="J35" s="1">
        <v>4.8579999999999997</v>
      </c>
      <c r="K35" s="1">
        <v>5.6980000000000004</v>
      </c>
      <c r="L35" s="1">
        <v>5.0350000000000001</v>
      </c>
      <c r="M35" s="1">
        <v>5.335</v>
      </c>
      <c r="N35" s="1">
        <v>5.9379999999999997</v>
      </c>
      <c r="O35" s="1">
        <v>5.5289999999999999</v>
      </c>
      <c r="P35" s="1">
        <v>4.649</v>
      </c>
      <c r="Q35" s="1">
        <v>197.4</v>
      </c>
      <c r="R35" s="1">
        <v>4.4770000000000003</v>
      </c>
      <c r="S35" s="1">
        <v>4.8369999999999997</v>
      </c>
      <c r="T35" s="1">
        <v>5.4370000000000003</v>
      </c>
      <c r="U35" s="1">
        <v>4.7939999999999996</v>
      </c>
      <c r="V35" s="1">
        <v>4.8879999999999999</v>
      </c>
      <c r="W35" s="1">
        <v>4.5590000000000002</v>
      </c>
      <c r="X35" s="1">
        <v>5.01</v>
      </c>
      <c r="Y35" s="1">
        <v>4.6740000000000004</v>
      </c>
      <c r="Z35" s="1">
        <v>193.2</v>
      </c>
      <c r="AA35" s="1">
        <v>7.8819999999999997</v>
      </c>
      <c r="AB35" s="1">
        <v>24.48</v>
      </c>
      <c r="AC35" s="1">
        <v>23.15</v>
      </c>
      <c r="AD35" s="1">
        <v>25.41</v>
      </c>
      <c r="AE35" s="1">
        <v>26.51</v>
      </c>
      <c r="AF35" s="1">
        <v>2.4940000000000002</v>
      </c>
      <c r="AG35" s="1">
        <v>0</v>
      </c>
      <c r="AH35" s="1">
        <v>0</v>
      </c>
      <c r="AI35" s="1">
        <v>5.7939999999999996</v>
      </c>
      <c r="AJ35" s="1">
        <v>16.84</v>
      </c>
      <c r="AK35" s="1">
        <v>192.2</v>
      </c>
      <c r="AL35" s="1">
        <v>0</v>
      </c>
      <c r="AM35" s="1">
        <v>3.431</v>
      </c>
      <c r="AN35" s="1">
        <v>4.1520000000000001</v>
      </c>
      <c r="AO35" s="1">
        <v>3.6</v>
      </c>
      <c r="AP35" s="1">
        <v>3.6160000000000001</v>
      </c>
      <c r="AQ35" s="1">
        <v>4.0250000000000004</v>
      </c>
      <c r="AR35" s="1">
        <v>192.4</v>
      </c>
    </row>
    <row r="36" spans="1:44" x14ac:dyDescent="0.2">
      <c r="A36" s="4" t="s">
        <v>296</v>
      </c>
      <c r="B36" s="4" t="s">
        <v>297</v>
      </c>
      <c r="C36" s="3" t="s">
        <v>493</v>
      </c>
      <c r="D36" s="1">
        <v>406.5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352.2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340.7</v>
      </c>
      <c r="AA36" s="1">
        <v>5.1769999999999996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338.5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337.9</v>
      </c>
    </row>
    <row r="37" spans="1:44" x14ac:dyDescent="0.2">
      <c r="A37" s="4" t="s">
        <v>304</v>
      </c>
      <c r="B37" s="4" t="s">
        <v>305</v>
      </c>
      <c r="C37" s="3" t="s">
        <v>493</v>
      </c>
      <c r="D37" s="1">
        <v>554.70000000000005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483.3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471.1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469.1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469</v>
      </c>
    </row>
    <row r="38" spans="1:44" x14ac:dyDescent="0.2">
      <c r="A38" s="4" t="s">
        <v>310</v>
      </c>
      <c r="B38" s="4" t="s">
        <v>311</v>
      </c>
      <c r="C38" s="3" t="s">
        <v>493</v>
      </c>
      <c r="D38" s="1">
        <v>525.20000000000005</v>
      </c>
      <c r="E38" s="1">
        <v>0</v>
      </c>
      <c r="F38" s="1">
        <v>10.83</v>
      </c>
      <c r="G38" s="1">
        <v>10.55</v>
      </c>
      <c r="H38" s="1">
        <v>8.8580000000000005</v>
      </c>
      <c r="I38" s="1">
        <v>9.6189999999999998</v>
      </c>
      <c r="J38" s="1">
        <v>9.6950000000000003</v>
      </c>
      <c r="K38" s="1">
        <v>10.98</v>
      </c>
      <c r="L38" s="1">
        <v>9.1140000000000008</v>
      </c>
      <c r="M38" s="1">
        <v>10.65</v>
      </c>
      <c r="N38" s="1">
        <v>10.46</v>
      </c>
      <c r="O38" s="1">
        <v>10.18</v>
      </c>
      <c r="P38" s="1">
        <v>8.5289999999999999</v>
      </c>
      <c r="Q38" s="1">
        <v>458.2</v>
      </c>
      <c r="R38" s="1">
        <v>8.625</v>
      </c>
      <c r="S38" s="1">
        <v>8.2270000000000003</v>
      </c>
      <c r="T38" s="1">
        <v>9.6180000000000003</v>
      </c>
      <c r="U38" s="1">
        <v>8.8729999999999993</v>
      </c>
      <c r="V38" s="1">
        <v>8.5389999999999997</v>
      </c>
      <c r="W38" s="1">
        <v>8.6210000000000004</v>
      </c>
      <c r="X38" s="1">
        <v>8.7639999999999993</v>
      </c>
      <c r="Y38" s="1">
        <v>8.4019999999999992</v>
      </c>
      <c r="Z38" s="1">
        <v>446.8</v>
      </c>
      <c r="AA38" s="1">
        <v>14.09</v>
      </c>
      <c r="AB38" s="1">
        <v>98.8</v>
      </c>
      <c r="AC38" s="1">
        <v>93.88</v>
      </c>
      <c r="AD38" s="1">
        <v>103</v>
      </c>
      <c r="AE38" s="1">
        <v>106.6</v>
      </c>
      <c r="AF38" s="1">
        <v>11.47</v>
      </c>
      <c r="AG38" s="1">
        <v>10.39</v>
      </c>
      <c r="AH38" s="1">
        <v>10.85</v>
      </c>
      <c r="AI38" s="1">
        <v>24.94</v>
      </c>
      <c r="AJ38" s="1">
        <v>71.83</v>
      </c>
      <c r="AK38" s="1">
        <v>444.7</v>
      </c>
      <c r="AL38" s="1">
        <v>0</v>
      </c>
      <c r="AM38" s="1">
        <v>13.45</v>
      </c>
      <c r="AN38" s="1">
        <v>15.53</v>
      </c>
      <c r="AO38" s="1">
        <v>13.08</v>
      </c>
      <c r="AP38" s="1">
        <v>14.43</v>
      </c>
      <c r="AQ38" s="1">
        <v>5.2969999999999997</v>
      </c>
      <c r="AR38" s="1">
        <v>444.2</v>
      </c>
    </row>
    <row r="39" spans="1:44" x14ac:dyDescent="0.2">
      <c r="A39" s="4" t="s">
        <v>355</v>
      </c>
      <c r="B39" s="4" t="s">
        <v>356</v>
      </c>
      <c r="C39" s="3" t="s">
        <v>493</v>
      </c>
      <c r="D39" s="1">
        <v>199.4</v>
      </c>
      <c r="E39" s="1">
        <v>58.59</v>
      </c>
      <c r="F39" s="1">
        <v>658.4</v>
      </c>
      <c r="G39" s="1">
        <v>634.4</v>
      </c>
      <c r="H39" s="1">
        <v>608.4</v>
      </c>
      <c r="I39" s="1">
        <v>628.20000000000005</v>
      </c>
      <c r="J39" s="1">
        <v>580.20000000000005</v>
      </c>
      <c r="K39" s="1">
        <v>715.6</v>
      </c>
      <c r="L39" s="1">
        <v>618.9</v>
      </c>
      <c r="M39" s="1">
        <v>649.9</v>
      </c>
      <c r="N39" s="1">
        <v>678.8</v>
      </c>
      <c r="O39" s="1">
        <v>669.1</v>
      </c>
      <c r="P39" s="1">
        <v>584.5</v>
      </c>
      <c r="Q39" s="1">
        <v>173.5</v>
      </c>
      <c r="R39" s="1">
        <v>611.4</v>
      </c>
      <c r="S39" s="1">
        <v>604</v>
      </c>
      <c r="T39" s="1">
        <v>683.4</v>
      </c>
      <c r="U39" s="1">
        <v>603.1</v>
      </c>
      <c r="V39" s="1">
        <v>620.4</v>
      </c>
      <c r="W39" s="1">
        <v>584.29999999999995</v>
      </c>
      <c r="X39" s="1">
        <v>624.29999999999995</v>
      </c>
      <c r="Y39" s="1">
        <v>579.79999999999995</v>
      </c>
      <c r="Z39" s="1">
        <v>169.4</v>
      </c>
      <c r="AA39" s="1">
        <v>488.2</v>
      </c>
      <c r="AB39" s="1">
        <v>3955</v>
      </c>
      <c r="AC39" s="1">
        <v>3761</v>
      </c>
      <c r="AD39" s="1">
        <v>4117</v>
      </c>
      <c r="AE39" s="1">
        <v>4253</v>
      </c>
      <c r="AF39" s="1">
        <v>457.3</v>
      </c>
      <c r="AG39" s="1">
        <v>408.7</v>
      </c>
      <c r="AH39" s="1">
        <v>406.5</v>
      </c>
      <c r="AI39" s="1">
        <v>876.2</v>
      </c>
      <c r="AJ39" s="1">
        <v>2449</v>
      </c>
      <c r="AK39" s="1">
        <v>168.6</v>
      </c>
      <c r="AL39" s="1">
        <v>53.92</v>
      </c>
      <c r="AM39" s="1">
        <v>693.8</v>
      </c>
      <c r="AN39" s="1">
        <v>809.2</v>
      </c>
      <c r="AO39" s="1">
        <v>673</v>
      </c>
      <c r="AP39" s="1">
        <v>732</v>
      </c>
      <c r="AQ39" s="1">
        <v>761.1</v>
      </c>
      <c r="AR39" s="1">
        <v>168.1</v>
      </c>
    </row>
    <row r="40" spans="1:44" x14ac:dyDescent="0.2">
      <c r="A40" s="4" t="s">
        <v>402</v>
      </c>
      <c r="B40" s="4" t="s">
        <v>403</v>
      </c>
      <c r="C40" s="3" t="s">
        <v>493</v>
      </c>
      <c r="D40" s="1">
        <v>188.4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163.6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159.69999999999999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21.43</v>
      </c>
      <c r="AJ40" s="1">
        <v>74.34</v>
      </c>
      <c r="AK40" s="1">
        <v>158.80000000000001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158.4</v>
      </c>
    </row>
    <row r="41" spans="1:44" x14ac:dyDescent="0.2">
      <c r="A41" s="4" t="s">
        <v>414</v>
      </c>
      <c r="B41" s="4" t="s">
        <v>415</v>
      </c>
      <c r="C41" s="3" t="s">
        <v>493</v>
      </c>
      <c r="D41" s="1">
        <v>184.3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159.5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155.1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154.5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154.1</v>
      </c>
    </row>
    <row r="42" spans="1:44" x14ac:dyDescent="0.2">
      <c r="A42" s="4" t="s">
        <v>421</v>
      </c>
      <c r="B42" s="4" t="s">
        <v>422</v>
      </c>
      <c r="C42" s="3" t="s">
        <v>493</v>
      </c>
      <c r="D42" s="1">
        <v>380.4</v>
      </c>
      <c r="E42" s="1">
        <v>106.9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329.2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318.2</v>
      </c>
      <c r="AA42" s="1">
        <v>722.4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11.16</v>
      </c>
      <c r="AK42" s="1">
        <v>316.39999999999998</v>
      </c>
      <c r="AL42" s="1">
        <v>99.8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315.3</v>
      </c>
    </row>
    <row r="43" spans="1:44" x14ac:dyDescent="0.2">
      <c r="A43" s="4" t="s">
        <v>433</v>
      </c>
      <c r="B43" s="4" t="s">
        <v>434</v>
      </c>
      <c r="C43" s="3" t="s">
        <v>493</v>
      </c>
      <c r="D43" s="1">
        <v>500</v>
      </c>
      <c r="E43" s="1">
        <v>0</v>
      </c>
      <c r="F43" s="1">
        <v>21.33</v>
      </c>
      <c r="G43" s="1">
        <v>20.62</v>
      </c>
      <c r="H43" s="1">
        <v>17.059999999999999</v>
      </c>
      <c r="I43" s="1">
        <v>17.760000000000002</v>
      </c>
      <c r="J43" s="1">
        <v>16.28</v>
      </c>
      <c r="K43" s="1">
        <v>20.21</v>
      </c>
      <c r="L43" s="1">
        <v>17.5</v>
      </c>
      <c r="M43" s="1">
        <v>21.08</v>
      </c>
      <c r="N43" s="1">
        <v>19.12</v>
      </c>
      <c r="O43" s="1">
        <v>18.87</v>
      </c>
      <c r="P43" s="1">
        <v>16.57</v>
      </c>
      <c r="Q43" s="1">
        <v>435.1</v>
      </c>
      <c r="R43" s="1">
        <v>17.27</v>
      </c>
      <c r="S43" s="1">
        <v>17.18</v>
      </c>
      <c r="T43" s="1">
        <v>19.649999999999999</v>
      </c>
      <c r="U43" s="1">
        <v>17.16</v>
      </c>
      <c r="V43" s="1">
        <v>17.690000000000001</v>
      </c>
      <c r="W43" s="1">
        <v>16.739999999999998</v>
      </c>
      <c r="X43" s="1">
        <v>17.559999999999999</v>
      </c>
      <c r="Y43" s="1">
        <v>16.45</v>
      </c>
      <c r="Z43" s="1">
        <v>424</v>
      </c>
      <c r="AA43" s="1">
        <v>0</v>
      </c>
      <c r="AB43" s="1">
        <v>23.04</v>
      </c>
      <c r="AC43" s="1">
        <v>21.92</v>
      </c>
      <c r="AD43" s="1">
        <v>23.84</v>
      </c>
      <c r="AE43" s="1">
        <v>24.49</v>
      </c>
      <c r="AF43" s="1">
        <v>0</v>
      </c>
      <c r="AG43" s="1">
        <v>0</v>
      </c>
      <c r="AH43" s="1">
        <v>0</v>
      </c>
      <c r="AI43" s="1">
        <v>15.88</v>
      </c>
      <c r="AJ43" s="1">
        <v>48.54</v>
      </c>
      <c r="AK43" s="1">
        <v>422.1</v>
      </c>
      <c r="AL43" s="1">
        <v>0</v>
      </c>
      <c r="AM43" s="1">
        <v>22.95</v>
      </c>
      <c r="AN43" s="1">
        <v>26.9</v>
      </c>
      <c r="AO43" s="1">
        <v>22.28</v>
      </c>
      <c r="AP43" s="1">
        <v>24.34</v>
      </c>
      <c r="AQ43" s="1">
        <v>24.75</v>
      </c>
      <c r="AR43" s="1">
        <v>421.1</v>
      </c>
    </row>
    <row r="44" spans="1:44" x14ac:dyDescent="0.2">
      <c r="A44" s="4" t="s">
        <v>468</v>
      </c>
      <c r="B44" s="4" t="s">
        <v>469</v>
      </c>
      <c r="C44" s="3" t="s">
        <v>493</v>
      </c>
      <c r="D44" s="1">
        <v>187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161.80000000000001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156.5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155.5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154.69999999999999</v>
      </c>
    </row>
    <row r="45" spans="1:44" x14ac:dyDescent="0.2">
      <c r="A45" s="4" t="s">
        <v>474</v>
      </c>
      <c r="B45" s="4" t="s">
        <v>475</v>
      </c>
      <c r="C45" s="3" t="s">
        <v>493</v>
      </c>
      <c r="D45" s="1">
        <v>411.2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355.1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343.5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341.1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339.3</v>
      </c>
    </row>
    <row r="46" spans="1:44" x14ac:dyDescent="0.2">
      <c r="A46" s="4" t="s">
        <v>480</v>
      </c>
      <c r="B46" s="4" t="s">
        <v>481</v>
      </c>
      <c r="C46" s="3" t="s">
        <v>493</v>
      </c>
      <c r="D46" s="1">
        <v>202.4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177.4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173.1</v>
      </c>
      <c r="AA46" s="1">
        <v>3.9670000000000001</v>
      </c>
      <c r="AB46" s="1">
        <v>38.1</v>
      </c>
      <c r="AC46" s="1">
        <v>37</v>
      </c>
      <c r="AD46" s="1">
        <v>40.229999999999997</v>
      </c>
      <c r="AE46" s="1">
        <v>41.67</v>
      </c>
      <c r="AF46" s="1">
        <v>0</v>
      </c>
      <c r="AG46" s="1">
        <v>0</v>
      </c>
      <c r="AH46" s="1">
        <v>0</v>
      </c>
      <c r="AI46" s="1">
        <v>0</v>
      </c>
      <c r="AJ46" s="1">
        <v>4.1459999999999999</v>
      </c>
      <c r="AK46" s="1">
        <v>174.1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171.8</v>
      </c>
    </row>
    <row r="47" spans="1:44" x14ac:dyDescent="0.2">
      <c r="A47" s="4"/>
      <c r="B47" s="4"/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</row>
  </sheetData>
  <mergeCells count="43">
    <mergeCell ref="A28:C28"/>
    <mergeCell ref="AM21:AM22"/>
    <mergeCell ref="AN21:AN22"/>
    <mergeCell ref="AO21:AO22"/>
    <mergeCell ref="AP21:AP22"/>
    <mergeCell ref="AQ21:AQ22"/>
    <mergeCell ref="AR21:AR22"/>
    <mergeCell ref="AG21:AG22"/>
    <mergeCell ref="AH21:AH22"/>
    <mergeCell ref="AI21:AI22"/>
    <mergeCell ref="AJ21:AJ22"/>
    <mergeCell ref="AK21:AK22"/>
    <mergeCell ref="AL21:AL22"/>
    <mergeCell ref="AA21:AA22"/>
    <mergeCell ref="AB21:AB22"/>
    <mergeCell ref="AC21:AC22"/>
    <mergeCell ref="AD21:AD22"/>
    <mergeCell ref="AE21:AE22"/>
    <mergeCell ref="AF21:AF22"/>
    <mergeCell ref="U21:U22"/>
    <mergeCell ref="V21:V22"/>
    <mergeCell ref="W21:W22"/>
    <mergeCell ref="X21:X22"/>
    <mergeCell ref="Y21:Y22"/>
    <mergeCell ref="Z21:Z22"/>
    <mergeCell ref="O21:O22"/>
    <mergeCell ref="P21:P22"/>
    <mergeCell ref="Q21:Q22"/>
    <mergeCell ref="R21:R22"/>
    <mergeCell ref="S21:S22"/>
    <mergeCell ref="T21:T22"/>
    <mergeCell ref="I21:I22"/>
    <mergeCell ref="J21:J22"/>
    <mergeCell ref="K21:K22"/>
    <mergeCell ref="L21:L22"/>
    <mergeCell ref="M21:M22"/>
    <mergeCell ref="N21:N22"/>
    <mergeCell ref="A1:C1"/>
    <mergeCell ref="D21:D22"/>
    <mergeCell ref="E21:E22"/>
    <mergeCell ref="F21:F22"/>
    <mergeCell ref="G21:G22"/>
    <mergeCell ref="H21:H22"/>
  </mergeCells>
  <conditionalFormatting sqref="D29:AR29">
    <cfRule type="cellIs" dxfId="35" priority="35" operator="lessThan">
      <formula>1474.69995117187</formula>
    </cfRule>
    <cfRule type="cellIs" dxfId="34" priority="36" operator="greaterThan">
      <formula>1474.69995117187</formula>
    </cfRule>
  </conditionalFormatting>
  <conditionalFormatting sqref="D30:AR30">
    <cfRule type="cellIs" dxfId="33" priority="33" operator="lessThan">
      <formula>854.890014648437</formula>
    </cfRule>
    <cfRule type="cellIs" dxfId="32" priority="34" operator="greaterThan">
      <formula>854.890014648437</formula>
    </cfRule>
  </conditionalFormatting>
  <conditionalFormatting sqref="D31:AR31">
    <cfRule type="cellIs" dxfId="31" priority="31" operator="lessThan">
      <formula>5328.7998046875</formula>
    </cfRule>
    <cfRule type="cellIs" dxfId="30" priority="32" operator="greaterThan">
      <formula>5328.7998046875</formula>
    </cfRule>
  </conditionalFormatting>
  <conditionalFormatting sqref="D32:AR32">
    <cfRule type="cellIs" dxfId="29" priority="29" operator="lessThan">
      <formula>1403.40002441406</formula>
    </cfRule>
    <cfRule type="cellIs" dxfId="28" priority="30" operator="greaterThan">
      <formula>1403.40002441406</formula>
    </cfRule>
  </conditionalFormatting>
  <conditionalFormatting sqref="D33:AR33">
    <cfRule type="cellIs" dxfId="27" priority="27" operator="lessThan">
      <formula>792.400024414062</formula>
    </cfRule>
    <cfRule type="cellIs" dxfId="26" priority="28" operator="greaterThan">
      <formula>792.400024414062</formula>
    </cfRule>
  </conditionalFormatting>
  <conditionalFormatting sqref="D34:AR34">
    <cfRule type="cellIs" dxfId="25" priority="25" operator="lessThan">
      <formula>3005.80004882812</formula>
    </cfRule>
    <cfRule type="cellIs" dxfId="24" priority="26" operator="greaterThan">
      <formula>3005.80004882812</formula>
    </cfRule>
  </conditionalFormatting>
  <conditionalFormatting sqref="D35:AR35">
    <cfRule type="cellIs" dxfId="23" priority="23" operator="lessThan">
      <formula>749.619995117187</formula>
    </cfRule>
    <cfRule type="cellIs" dxfId="22" priority="24" operator="greaterThan">
      <formula>749.619995117187</formula>
    </cfRule>
  </conditionalFormatting>
  <conditionalFormatting sqref="D36:AR36">
    <cfRule type="cellIs" dxfId="21" priority="21" operator="lessThan">
      <formula>1338.5</formula>
    </cfRule>
    <cfRule type="cellIs" dxfId="20" priority="22" operator="greaterThan">
      <formula>1338.5</formula>
    </cfRule>
  </conditionalFormatting>
  <conditionalFormatting sqref="D37:AR37">
    <cfRule type="cellIs" dxfId="19" priority="19" operator="lessThan">
      <formula>1705.30004882812</formula>
    </cfRule>
    <cfRule type="cellIs" dxfId="18" priority="20" operator="greaterThan">
      <formula>1705.30004882812</formula>
    </cfRule>
  </conditionalFormatting>
  <conditionalFormatting sqref="D38:AR38">
    <cfRule type="cellIs" dxfId="17" priority="17" operator="lessThan">
      <formula>7009.5</formula>
    </cfRule>
    <cfRule type="cellIs" dxfId="16" priority="18" operator="greaterThan">
      <formula>7009.5</formula>
    </cfRule>
  </conditionalFormatting>
  <conditionalFormatting sqref="D39:AR39">
    <cfRule type="cellIs" dxfId="15" priority="15" operator="lessThan">
      <formula>2698.10009765625</formula>
    </cfRule>
    <cfRule type="cellIs" dxfId="14" priority="16" operator="greaterThan">
      <formula>2698.10009765625</formula>
    </cfRule>
  </conditionalFormatting>
  <conditionalFormatting sqref="D40:AR40">
    <cfRule type="cellIs" dxfId="13" priority="13" operator="lessThan">
      <formula>640.330017089844</formula>
    </cfRule>
    <cfRule type="cellIs" dxfId="12" priority="14" operator="greaterThan">
      <formula>640.330017089844</formula>
    </cfRule>
  </conditionalFormatting>
  <conditionalFormatting sqref="D41:AR41">
    <cfRule type="cellIs" dxfId="11" priority="11" operator="lessThan">
      <formula>724.299987792969</formula>
    </cfRule>
    <cfRule type="cellIs" dxfId="10" priority="12" operator="greaterThan">
      <formula>724.299987792969</formula>
    </cfRule>
  </conditionalFormatting>
  <conditionalFormatting sqref="D42:AR42">
    <cfRule type="cellIs" dxfId="9" priority="9" operator="lessThan">
      <formula>4933.39990234375</formula>
    </cfRule>
    <cfRule type="cellIs" dxfId="8" priority="10" operator="greaterThan">
      <formula>4933.39990234375</formula>
    </cfRule>
  </conditionalFormatting>
  <conditionalFormatting sqref="D43:AR43">
    <cfRule type="cellIs" dxfId="7" priority="7" operator="lessThan">
      <formula>1657.09997558594</formula>
    </cfRule>
    <cfRule type="cellIs" dxfId="6" priority="8" operator="greaterThan">
      <formula>1657.09997558594</formula>
    </cfRule>
  </conditionalFormatting>
  <conditionalFormatting sqref="D44:AR44">
    <cfRule type="cellIs" dxfId="5" priority="5" operator="lessThan">
      <formula>481.320007324219</formula>
    </cfRule>
    <cfRule type="cellIs" dxfId="4" priority="6" operator="greaterThan">
      <formula>481.320007324219</formula>
    </cfRule>
  </conditionalFormatting>
  <conditionalFormatting sqref="D45:AR45">
    <cfRule type="cellIs" dxfId="3" priority="3" operator="lessThan">
      <formula>709.940002441406</formula>
    </cfRule>
    <cfRule type="cellIs" dxfId="2" priority="4" operator="greaterThan">
      <formula>709.940002441406</formula>
    </cfRule>
  </conditionalFormatting>
  <conditionalFormatting sqref="D46:AR46">
    <cfRule type="cellIs" dxfId="1" priority="1" operator="lessThan">
      <formula>674.890014648437</formula>
    </cfRule>
    <cfRule type="cellIs" dxfId="0" priority="2" operator="greaterThan">
      <formula>674.890014648437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4D91D-9AD3-4778-BEF4-BA0C068C3677}">
  <dimension ref="A1:K13"/>
  <sheetViews>
    <sheetView workbookViewId="0"/>
  </sheetViews>
  <sheetFormatPr defaultRowHeight="14.25" x14ac:dyDescent="0.2"/>
  <cols>
    <col min="1" max="1" width="7.625" bestFit="1" customWidth="1"/>
    <col min="2" max="3" width="13" bestFit="1" customWidth="1"/>
    <col min="4" max="5" width="8.875" bestFit="1" customWidth="1"/>
    <col min="6" max="7" width="8.125" bestFit="1" customWidth="1"/>
    <col min="8" max="9" width="12.25" bestFit="1" customWidth="1"/>
    <col min="10" max="10" width="11.875" bestFit="1" customWidth="1"/>
    <col min="11" max="11" width="6.125" bestFit="1" customWidth="1"/>
  </cols>
  <sheetData>
    <row r="1" spans="1:11" x14ac:dyDescent="0.2">
      <c r="A1" t="s">
        <v>511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518</v>
      </c>
      <c r="I1" t="s">
        <v>519</v>
      </c>
      <c r="J1" t="s">
        <v>520</v>
      </c>
      <c r="K1" t="s">
        <v>521</v>
      </c>
    </row>
    <row r="2" spans="1:11" x14ac:dyDescent="0.2">
      <c r="A2" t="s">
        <v>151</v>
      </c>
      <c r="B2" t="s">
        <v>4</v>
      </c>
      <c r="C2" t="s">
        <v>522</v>
      </c>
      <c r="D2">
        <v>0</v>
      </c>
      <c r="E2">
        <v>0</v>
      </c>
      <c r="F2">
        <v>990.9</v>
      </c>
      <c r="G2">
        <v>1021</v>
      </c>
      <c r="H2">
        <v>0</v>
      </c>
      <c r="I2">
        <v>0</v>
      </c>
      <c r="J2">
        <v>0</v>
      </c>
      <c r="K2" s="14" t="s">
        <v>523</v>
      </c>
    </row>
    <row r="3" spans="1:11" x14ac:dyDescent="0.2">
      <c r="A3" t="s">
        <v>238</v>
      </c>
      <c r="B3" t="s">
        <v>4</v>
      </c>
      <c r="C3" t="s">
        <v>522</v>
      </c>
      <c r="D3">
        <v>0</v>
      </c>
      <c r="E3">
        <v>0</v>
      </c>
      <c r="F3">
        <v>990.9</v>
      </c>
      <c r="G3">
        <v>1021</v>
      </c>
      <c r="H3">
        <v>0</v>
      </c>
      <c r="I3">
        <v>0</v>
      </c>
      <c r="J3">
        <v>0</v>
      </c>
      <c r="K3" s="14" t="s">
        <v>523</v>
      </c>
    </row>
    <row r="4" spans="1:11" x14ac:dyDescent="0.2">
      <c r="A4" t="s">
        <v>356</v>
      </c>
      <c r="B4" t="s">
        <v>4</v>
      </c>
      <c r="C4" t="s">
        <v>522</v>
      </c>
      <c r="D4">
        <v>3.0310000000000001</v>
      </c>
      <c r="E4">
        <v>3.1349999999999998</v>
      </c>
      <c r="F4">
        <v>990.9</v>
      </c>
      <c r="G4">
        <v>1021</v>
      </c>
      <c r="H4">
        <v>3.058835402159653E-3</v>
      </c>
      <c r="I4">
        <v>3.0705190989226247E-3</v>
      </c>
      <c r="J4">
        <v>0.38123742919123677</v>
      </c>
      <c r="K4" s="14" t="s">
        <v>523</v>
      </c>
    </row>
    <row r="5" spans="1:11" x14ac:dyDescent="0.2">
      <c r="A5" t="s">
        <v>422</v>
      </c>
      <c r="B5" t="s">
        <v>4</v>
      </c>
      <c r="C5" t="s">
        <v>522</v>
      </c>
      <c r="D5">
        <v>0</v>
      </c>
      <c r="E5">
        <v>0</v>
      </c>
      <c r="F5">
        <v>990.9</v>
      </c>
      <c r="G5">
        <v>1021</v>
      </c>
      <c r="H5">
        <v>0</v>
      </c>
      <c r="I5">
        <v>0</v>
      </c>
      <c r="J5">
        <v>0</v>
      </c>
      <c r="K5" s="14" t="s">
        <v>523</v>
      </c>
    </row>
    <row r="6" spans="1:11" x14ac:dyDescent="0.2">
      <c r="A6" t="s">
        <v>151</v>
      </c>
      <c r="B6" t="s">
        <v>44</v>
      </c>
      <c r="C6" t="s">
        <v>524</v>
      </c>
      <c r="D6">
        <v>5.3860000000000002E-3</v>
      </c>
      <c r="E6">
        <v>5.1089999999999998E-3</v>
      </c>
      <c r="F6">
        <v>19403.5</v>
      </c>
      <c r="G6">
        <v>19587.099999999999</v>
      </c>
      <c r="H6">
        <v>2.7757878733218236E-7</v>
      </c>
      <c r="I6">
        <v>2.6083493728014869E-7</v>
      </c>
      <c r="J6">
        <v>6.2196965963635469</v>
      </c>
      <c r="K6" s="14" t="s">
        <v>523</v>
      </c>
    </row>
    <row r="7" spans="1:11" x14ac:dyDescent="0.2">
      <c r="A7" t="s">
        <v>238</v>
      </c>
      <c r="B7" t="s">
        <v>44</v>
      </c>
      <c r="C7" t="s">
        <v>524</v>
      </c>
      <c r="D7">
        <v>1.5980000000000001E-2</v>
      </c>
      <c r="E7">
        <v>1.519E-2</v>
      </c>
      <c r="F7">
        <v>19403.5</v>
      </c>
      <c r="G7">
        <v>19587.099999999999</v>
      </c>
      <c r="H7">
        <v>8.2356275929600334E-7</v>
      </c>
      <c r="I7">
        <v>7.755104124653472E-7</v>
      </c>
      <c r="J7">
        <v>6.0100247667500222</v>
      </c>
      <c r="K7" s="14" t="s">
        <v>523</v>
      </c>
    </row>
    <row r="8" spans="1:11" x14ac:dyDescent="0.2">
      <c r="A8" t="s">
        <v>356</v>
      </c>
      <c r="B8" t="s">
        <v>44</v>
      </c>
      <c r="C8" t="s">
        <v>524</v>
      </c>
      <c r="D8">
        <v>5.3259999999999996</v>
      </c>
      <c r="E8">
        <v>5.0049999999999999</v>
      </c>
      <c r="F8">
        <v>19403.5</v>
      </c>
      <c r="G8">
        <v>19587.099999999999</v>
      </c>
      <c r="H8">
        <v>2.7448656170278558E-4</v>
      </c>
      <c r="I8">
        <v>2.5552532023627797E-4</v>
      </c>
      <c r="J8">
        <v>7.1550250523204735</v>
      </c>
      <c r="K8" s="14" t="s">
        <v>523</v>
      </c>
    </row>
    <row r="9" spans="1:11" x14ac:dyDescent="0.2">
      <c r="A9" t="s">
        <v>422</v>
      </c>
      <c r="B9" t="s">
        <v>44</v>
      </c>
      <c r="C9" t="s">
        <v>524</v>
      </c>
      <c r="D9">
        <v>0</v>
      </c>
      <c r="E9">
        <v>0</v>
      </c>
      <c r="F9">
        <v>19403.5</v>
      </c>
      <c r="G9">
        <v>19587.099999999999</v>
      </c>
      <c r="H9">
        <v>0</v>
      </c>
      <c r="I9">
        <v>0</v>
      </c>
      <c r="J9">
        <v>0</v>
      </c>
      <c r="K9" s="14" t="s">
        <v>523</v>
      </c>
    </row>
    <row r="10" spans="1:11" x14ac:dyDescent="0.2">
      <c r="A10" t="s">
        <v>151</v>
      </c>
      <c r="B10" t="s">
        <v>64</v>
      </c>
      <c r="C10" t="s">
        <v>525</v>
      </c>
      <c r="D10">
        <v>0</v>
      </c>
      <c r="E10">
        <v>0</v>
      </c>
      <c r="F10">
        <v>924.2</v>
      </c>
      <c r="G10">
        <v>1073.5999999999999</v>
      </c>
      <c r="H10">
        <v>0</v>
      </c>
      <c r="I10">
        <v>0</v>
      </c>
      <c r="J10">
        <v>0</v>
      </c>
      <c r="K10" s="14" t="s">
        <v>523</v>
      </c>
    </row>
    <row r="11" spans="1:11" x14ac:dyDescent="0.2">
      <c r="A11" t="s">
        <v>238</v>
      </c>
      <c r="B11" t="s">
        <v>64</v>
      </c>
      <c r="C11" t="s">
        <v>525</v>
      </c>
      <c r="D11">
        <v>0</v>
      </c>
      <c r="E11">
        <v>0</v>
      </c>
      <c r="F11">
        <v>924.2</v>
      </c>
      <c r="G11">
        <v>1073.5999999999999</v>
      </c>
      <c r="H11">
        <v>0</v>
      </c>
      <c r="I11">
        <v>0</v>
      </c>
      <c r="J11">
        <v>0</v>
      </c>
      <c r="K11" s="14" t="s">
        <v>523</v>
      </c>
    </row>
    <row r="12" spans="1:11" x14ac:dyDescent="0.2">
      <c r="A12" t="s">
        <v>356</v>
      </c>
      <c r="B12" t="s">
        <v>64</v>
      </c>
      <c r="C12" t="s">
        <v>525</v>
      </c>
      <c r="D12">
        <v>3.3769999999999998</v>
      </c>
      <c r="E12">
        <v>4.0289999999999999</v>
      </c>
      <c r="F12">
        <v>924.2</v>
      </c>
      <c r="G12">
        <v>1073.5999999999999</v>
      </c>
      <c r="H12">
        <v>3.6539710019476298E-3</v>
      </c>
      <c r="I12">
        <v>3.7527943368107306E-3</v>
      </c>
      <c r="J12">
        <v>2.6684613415784866</v>
      </c>
      <c r="K12" s="14" t="s">
        <v>523</v>
      </c>
    </row>
    <row r="13" spans="1:11" x14ac:dyDescent="0.2">
      <c r="A13" t="s">
        <v>422</v>
      </c>
      <c r="B13" t="s">
        <v>64</v>
      </c>
      <c r="C13" t="s">
        <v>525</v>
      </c>
      <c r="D13">
        <v>0</v>
      </c>
      <c r="E13">
        <v>0</v>
      </c>
      <c r="F13">
        <v>924.2</v>
      </c>
      <c r="G13">
        <v>1073.5999999999999</v>
      </c>
      <c r="H13">
        <v>0</v>
      </c>
      <c r="I13">
        <v>0</v>
      </c>
      <c r="J13">
        <v>0</v>
      </c>
      <c r="K13" s="14" t="s">
        <v>523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QC check</vt:lpstr>
      <vt:lpstr>Area check</vt:lpstr>
      <vt:lpstr>ISTD Variance</vt:lpstr>
      <vt:lpstr>Blank Spike Recovery</vt:lpstr>
      <vt:lpstr>Results Transfer</vt:lpstr>
      <vt:lpstr>RPD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Abel Saldarreaga</cp:lastModifiedBy>
  <dcterms:created xsi:type="dcterms:W3CDTF">2025-09-25T15:17:41Z</dcterms:created>
  <dcterms:modified xsi:type="dcterms:W3CDTF">2025-09-25T16:04:10Z</dcterms:modified>
</cp:coreProperties>
</file>