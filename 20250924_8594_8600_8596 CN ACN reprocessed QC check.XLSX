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el\Desktop\CN-upload-results\"/>
    </mc:Choice>
  </mc:AlternateContent>
  <xr:revisionPtr revIDLastSave="0" documentId="13_ncr:1_{8FFCC442-3C2B-42FD-9EBF-B8E92BD1C74F}" xr6:coauthVersionLast="47" xr6:coauthVersionMax="47" xr10:uidLastSave="{00000000-0000-0000-0000-000000000000}"/>
  <bookViews>
    <workbookView xWindow="-20610" yWindow="2175" windowWidth="20730" windowHeight="11040" activeTab="4" xr2:uid="{00000000-000D-0000-FFFF-FFFF00000000}"/>
  </bookViews>
  <sheets>
    <sheet name="QC check" sheetId="6" r:id="rId1"/>
    <sheet name="Area check" sheetId="7" r:id="rId2"/>
    <sheet name="ISTD Variance" sheetId="8" r:id="rId3"/>
    <sheet name="Blank Spike Recovery" sheetId="9" r:id="rId4"/>
    <sheet name="Results Transfer" sheetId="10" r:id="rId5"/>
    <sheet name="RPD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8" l="1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G4" i="8"/>
  <c r="F4" i="8"/>
  <c r="G3" i="8"/>
  <c r="F3" i="8"/>
  <c r="G2" i="8"/>
  <c r="F2" i="8"/>
  <c r="F4" i="9"/>
  <c r="F7" i="9"/>
  <c r="F15" i="9"/>
  <c r="F12" i="9"/>
  <c r="D4" i="9"/>
  <c r="D7" i="9"/>
  <c r="D15" i="9"/>
  <c r="D12" i="9"/>
  <c r="B4" i="9"/>
  <c r="B7" i="9"/>
  <c r="B15" i="9"/>
  <c r="B12" i="9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</calcChain>
</file>

<file path=xl/sharedStrings.xml><?xml version="1.0" encoding="utf-8"?>
<sst xmlns="http://schemas.openxmlformats.org/spreadsheetml/2006/main" count="1594" uniqueCount="488">
  <si>
    <t>HPLC-ME-3</t>
  </si>
  <si>
    <t>Low CCV</t>
  </si>
  <si>
    <t>BS-CIPs-8594</t>
  </si>
  <si>
    <t>10.5000</t>
  </si>
  <si>
    <t>Dup-15042</t>
  </si>
  <si>
    <t>990.9000</t>
  </si>
  <si>
    <t>15042</t>
  </si>
  <si>
    <t>1021.0000</t>
  </si>
  <si>
    <t>15042-1</t>
  </si>
  <si>
    <t>1031.1000</t>
  </si>
  <si>
    <t>15042-2</t>
  </si>
  <si>
    <t>933.2000</t>
  </si>
  <si>
    <t>15043</t>
  </si>
  <si>
    <t>966.0000</t>
  </si>
  <si>
    <t>15043-1</t>
  </si>
  <si>
    <t>1071.7000</t>
  </si>
  <si>
    <t>15044</t>
  </si>
  <si>
    <t>1086.2000</t>
  </si>
  <si>
    <t>15044-1</t>
  </si>
  <si>
    <t>1076.9000</t>
  </si>
  <si>
    <t>15045</t>
  </si>
  <si>
    <t>937.6000</t>
  </si>
  <si>
    <t>Dup-15049</t>
  </si>
  <si>
    <t>Dup-15061</t>
  </si>
  <si>
    <t>High CCV Inj.
1</t>
  </si>
  <si>
    <t>Low CCV Inj.
1</t>
  </si>
  <si>
    <t>BS-CIPs-8594
Inj. 1</t>
  </si>
  <si>
    <t>Dup-15042
Inj. 1</t>
  </si>
  <si>
    <t>15042 Inj. 1</t>
  </si>
  <si>
    <t>15042-1 Inj. 1</t>
  </si>
  <si>
    <t>15042-2 Inj. 1</t>
  </si>
  <si>
    <t>15043 Inj. 1</t>
  </si>
  <si>
    <t>15043-1 Inj. 1</t>
  </si>
  <si>
    <t>15043-2 Inj. 1</t>
  </si>
  <si>
    <t>15044 Inj. 1</t>
  </si>
  <si>
    <t>15044-1 Inj. 1</t>
  </si>
  <si>
    <t>15044-2 Inj. 1</t>
  </si>
  <si>
    <t>15045 Inj. 1</t>
  </si>
  <si>
    <t>15045-1 Inj. 1</t>
  </si>
  <si>
    <t>15045-2 Inj. 1</t>
  </si>
  <si>
    <t>15046 Inj. 1</t>
  </si>
  <si>
    <t>15046-1 Inj. 1</t>
  </si>
  <si>
    <t>15046-2 Inj. 1</t>
  </si>
  <si>
    <t>15047 Inj. 1</t>
  </si>
  <si>
    <t>15047-1 Inj. 1</t>
  </si>
  <si>
    <t>15047-2 Inj. 1</t>
  </si>
  <si>
    <t>BS-LDB-8600
Inj. 1</t>
  </si>
  <si>
    <t>Dup-15049
Inj. 1</t>
  </si>
  <si>
    <t>15049 Inj. 1</t>
  </si>
  <si>
    <t>15049-1 Inj. 1</t>
  </si>
  <si>
    <t>15049-2 Inj. 1</t>
  </si>
  <si>
    <t>15050 Inj. 1</t>
  </si>
  <si>
    <t>15050-1 Inj. 1</t>
  </si>
  <si>
    <t>15050-2 Inj. 1</t>
  </si>
  <si>
    <t>15085 Inj. 1</t>
  </si>
  <si>
    <t>15086 Inj. 1</t>
  </si>
  <si>
    <t>BS-CIPs-8596
Inj. 1</t>
  </si>
  <si>
    <t>Dup-15061
Inj. 1</t>
  </si>
  <si>
    <t>15061 Inj. 1</t>
  </si>
  <si>
    <t>15061-1 Inj. 1</t>
  </si>
  <si>
    <t>15061-2 Inj. 1</t>
  </si>
  <si>
    <t>15063 Inj. 1</t>
  </si>
  <si>
    <t>Compou
nd
Amount</t>
  </si>
  <si>
    <t>0</t>
  </si>
  <si>
    <t>1.68</t>
  </si>
  <si>
    <t>BzP</t>
  </si>
  <si>
    <t>0.09631</t>
  </si>
  <si>
    <t>0.1046</t>
  </si>
  <si>
    <t>0.02900</t>
  </si>
  <si>
    <t>0.01641</t>
  </si>
  <si>
    <t>0.01695</t>
  </si>
  <si>
    <t>0.1071</t>
  </si>
  <si>
    <t>0.09930</t>
  </si>
  <si>
    <t>0.1082</t>
  </si>
  <si>
    <t>0.01366</t>
  </si>
  <si>
    <t>0.1009</t>
  </si>
  <si>
    <t>0.1084</t>
  </si>
  <si>
    <t>0.1011</t>
  </si>
  <si>
    <t>0.1087</t>
  </si>
  <si>
    <t>2.11</t>
  </si>
  <si>
    <t>CBDVA</t>
  </si>
  <si>
    <t>0.02905</t>
  </si>
  <si>
    <t>0.01368</t>
  </si>
  <si>
    <t>0.02843</t>
  </si>
  <si>
    <t>0.02794</t>
  </si>
  <si>
    <t>0.01940</t>
  </si>
  <si>
    <t>0.02779</t>
  </si>
  <si>
    <t>0.01343</t>
  </si>
  <si>
    <t>0.02776</t>
  </si>
  <si>
    <t>2.42</t>
  </si>
  <si>
    <t>CBDV</t>
  </si>
  <si>
    <t>0.02768</t>
  </si>
  <si>
    <t>0.02730</t>
  </si>
  <si>
    <t>0.02704</t>
  </si>
  <si>
    <t>0.01670</t>
  </si>
  <si>
    <t>0.004274</t>
  </si>
  <si>
    <t>0.004495</t>
  </si>
  <si>
    <t>0.003729</t>
  </si>
  <si>
    <t>0.02694</t>
  </si>
  <si>
    <t>0.02693</t>
  </si>
  <si>
    <t>3.13</t>
  </si>
  <si>
    <t>CBDA</t>
  </si>
  <si>
    <t>0.09858</t>
  </si>
  <si>
    <t>0.02773</t>
  </si>
  <si>
    <t>0.3054</t>
  </si>
  <si>
    <t>0.02714</t>
  </si>
  <si>
    <t>0.09664</t>
  </si>
  <si>
    <t>0.02666</t>
  </si>
  <si>
    <t>0.5525</t>
  </si>
  <si>
    <t>0.005386</t>
  </si>
  <si>
    <t>0.005109</t>
  </si>
  <si>
    <t>0.007200</t>
  </si>
  <si>
    <t>0.005500</t>
  </si>
  <si>
    <t>0.004200</t>
  </si>
  <si>
    <t>0.09484</t>
  </si>
  <si>
    <t>0.02652</t>
  </si>
  <si>
    <t>0.2960</t>
  </si>
  <si>
    <t>0.09451</t>
  </si>
  <si>
    <t>0.02648</t>
  </si>
  <si>
    <t>3.32</t>
  </si>
  <si>
    <t>CBGA</t>
  </si>
  <si>
    <t>0.02798</t>
  </si>
  <si>
    <t>0.01208</t>
  </si>
  <si>
    <t>0.01518</t>
  </si>
  <si>
    <t>0.01523</t>
  </si>
  <si>
    <t>0.01557</t>
  </si>
  <si>
    <t>0.01458</t>
  </si>
  <si>
    <t>0.01514</t>
  </si>
  <si>
    <t>0.01609</t>
  </si>
  <si>
    <t>0.01418</t>
  </si>
  <si>
    <t>0.01596</t>
  </si>
  <si>
    <t>0.01634</t>
  </si>
  <si>
    <t>0.01654</t>
  </si>
  <si>
    <t>0.01345</t>
  </si>
  <si>
    <t>0.02731</t>
  </si>
  <si>
    <t>0.01519</t>
  </si>
  <si>
    <t>0.01472</t>
  </si>
  <si>
    <t>0.01408</t>
  </si>
  <si>
    <t>0.01457</t>
  </si>
  <si>
    <t>0.01273</t>
  </si>
  <si>
    <t>0.01447</t>
  </si>
  <si>
    <t>0.01465</t>
  </si>
  <si>
    <t>0.02682</t>
  </si>
  <si>
    <t>0.01436</t>
  </si>
  <si>
    <t>0.02670</t>
  </si>
  <si>
    <t>0.01178</t>
  </si>
  <si>
    <t>3.69</t>
  </si>
  <si>
    <t>CBG</t>
  </si>
  <si>
    <t>0.02755</t>
  </si>
  <si>
    <t>0.01647</t>
  </si>
  <si>
    <t>0.1156</t>
  </si>
  <si>
    <t>0.1213</t>
  </si>
  <si>
    <t>0.1215</t>
  </si>
  <si>
    <t>0.1111</t>
  </si>
  <si>
    <t>0.1142</t>
  </si>
  <si>
    <t>0.1270</t>
  </si>
  <si>
    <t>0.1207</t>
  </si>
  <si>
    <t>0.1279</t>
  </si>
  <si>
    <t>0.1291</t>
  </si>
  <si>
    <t>0.1256</t>
  </si>
  <si>
    <t>0.1081</t>
  </si>
  <si>
    <t>0.02708</t>
  </si>
  <si>
    <t>0.1173</t>
  </si>
  <si>
    <t>0.1134</t>
  </si>
  <si>
    <t>0.1167</t>
  </si>
  <si>
    <t>0.1105</t>
  </si>
  <si>
    <t>0.1117</t>
  </si>
  <si>
    <t>0.1089</t>
  </si>
  <si>
    <t>0.1098</t>
  </si>
  <si>
    <t>0.1126</t>
  </si>
  <si>
    <t>0.02675</t>
  </si>
  <si>
    <t>0.02543</t>
  </si>
  <si>
    <t>0.1555</t>
  </si>
  <si>
    <t>0.1464</t>
  </si>
  <si>
    <t>0.1586</t>
  </si>
  <si>
    <t>0.1584</t>
  </si>
  <si>
    <t>0.01704</t>
  </si>
  <si>
    <t>0.01675</t>
  </si>
  <si>
    <t>0.01668</t>
  </si>
  <si>
    <t>0.02603</t>
  </si>
  <si>
    <t>0.07095</t>
  </si>
  <si>
    <t>0.02664</t>
  </si>
  <si>
    <t>0.1551</t>
  </si>
  <si>
    <t>0.1877</t>
  </si>
  <si>
    <t>0.1561</t>
  </si>
  <si>
    <t>0.1671</t>
  </si>
  <si>
    <t>0.09510</t>
  </si>
  <si>
    <t>3.93</t>
  </si>
  <si>
    <t>CBD</t>
  </si>
  <si>
    <t>0.1036</t>
  </si>
  <si>
    <t>0.02719</t>
  </si>
  <si>
    <t>0.4017</t>
  </si>
  <si>
    <t>0.02687</t>
  </si>
  <si>
    <t>0.1008</t>
  </si>
  <si>
    <t>0.02660</t>
  </si>
  <si>
    <t>0.8150</t>
  </si>
  <si>
    <t>0.01598</t>
  </si>
  <si>
    <t>0.01659</t>
  </si>
  <si>
    <t>0.01674</t>
  </si>
  <si>
    <t>0.006275</t>
  </si>
  <si>
    <t>0.01496</t>
  </si>
  <si>
    <t>0.09900</t>
  </si>
  <si>
    <t>0.3821</t>
  </si>
  <si>
    <t>0.09871</t>
  </si>
  <si>
    <t>4.19</t>
  </si>
  <si>
    <t>THCV</t>
  </si>
  <si>
    <t>0.001219</t>
  </si>
  <si>
    <t>0.02748</t>
  </si>
  <si>
    <t>0.02787</t>
  </si>
  <si>
    <t>0.02786</t>
  </si>
  <si>
    <t>0.02613</t>
  </si>
  <si>
    <t>0.02745</t>
  </si>
  <si>
    <t>0.02863</t>
  </si>
  <si>
    <t>0.02749</t>
  </si>
  <si>
    <t>0.02945</t>
  </si>
  <si>
    <t>0.03128</t>
  </si>
  <si>
    <t>0.02942</t>
  </si>
  <si>
    <t>0.02523</t>
  </si>
  <si>
    <t>0.02729</t>
  </si>
  <si>
    <t>0.02538</t>
  </si>
  <si>
    <t>0.02624</t>
  </si>
  <si>
    <t>0.02657</t>
  </si>
  <si>
    <t>0.02567</t>
  </si>
  <si>
    <t>0.02548</t>
  </si>
  <si>
    <t>0.02453</t>
  </si>
  <si>
    <t>0.02564</t>
  </si>
  <si>
    <t>0.02626</t>
  </si>
  <si>
    <t>0.0009110</t>
  </si>
  <si>
    <t>0.02717</t>
  </si>
  <si>
    <t>0.01007</t>
  </si>
  <si>
    <t>0.03078</t>
  </si>
  <si>
    <t>0.02884</t>
  </si>
  <si>
    <t>0.03114</t>
  </si>
  <si>
    <t>0.03142</t>
  </si>
  <si>
    <t>0.004104</t>
  </si>
  <si>
    <t>0.008306</t>
  </si>
  <si>
    <t>0.02085</t>
  </si>
  <si>
    <t>0.0008100</t>
  </si>
  <si>
    <t>0.02706</t>
  </si>
  <si>
    <t>0.02015</t>
  </si>
  <si>
    <t>0.02370</t>
  </si>
  <si>
    <t>0.02119</t>
  </si>
  <si>
    <t>0.02135</t>
  </si>
  <si>
    <t>0.02228</t>
  </si>
  <si>
    <t>0.0007622</t>
  </si>
  <si>
    <t>0.02715</t>
  </si>
  <si>
    <t>5.30</t>
  </si>
  <si>
    <t>THCVA</t>
  </si>
  <si>
    <t>0.02775</t>
  </si>
  <si>
    <t>0.02723</t>
  </si>
  <si>
    <t>0.02679</t>
  </si>
  <si>
    <t>0.004684</t>
  </si>
  <si>
    <t>0.0004879</t>
  </si>
  <si>
    <t>0.0005136</t>
  </si>
  <si>
    <t>5.56</t>
  </si>
  <si>
    <t>CBCV</t>
  </si>
  <si>
    <t>0.02829</t>
  </si>
  <si>
    <t>0.02792</t>
  </si>
  <si>
    <t>0.02760</t>
  </si>
  <si>
    <t>0.02765</t>
  </si>
  <si>
    <t>6.11</t>
  </si>
  <si>
    <t>CBN</t>
  </si>
  <si>
    <t>0.09567</t>
  </si>
  <si>
    <t>0.02419</t>
  </si>
  <si>
    <t>0.02505</t>
  </si>
  <si>
    <t>0.02247</t>
  </si>
  <si>
    <t>0.02183</t>
  </si>
  <si>
    <t>0.02412</t>
  </si>
  <si>
    <t>0.02443</t>
  </si>
  <si>
    <t>0.02239</t>
  </si>
  <si>
    <t>0.02582</t>
  </si>
  <si>
    <t>0.02477</t>
  </si>
  <si>
    <t>0.02420</t>
  </si>
  <si>
    <t>0.02086</t>
  </si>
  <si>
    <t>0.02698</t>
  </si>
  <si>
    <t>0.02177</t>
  </si>
  <si>
    <t>0.02046</t>
  </si>
  <si>
    <t>0.02131</t>
  </si>
  <si>
    <t>0.02029</t>
  </si>
  <si>
    <t>0.02077</t>
  </si>
  <si>
    <t>0.02044</t>
  </si>
  <si>
    <t>0.02133</t>
  </si>
  <si>
    <t>0.09375</t>
  </si>
  <si>
    <t>0.02676</t>
  </si>
  <si>
    <t>0.007984</t>
  </si>
  <si>
    <t>0.05197</t>
  </si>
  <si>
    <t>0.04887</t>
  </si>
  <si>
    <t>0.05280</t>
  </si>
  <si>
    <t>0.05288</t>
  </si>
  <si>
    <t>0.006782</t>
  </si>
  <si>
    <t>0.006651</t>
  </si>
  <si>
    <t>0.006891</t>
  </si>
  <si>
    <t>0.01414</t>
  </si>
  <si>
    <t>0.03682</t>
  </si>
  <si>
    <t>0.09257</t>
  </si>
  <si>
    <t>0.02668</t>
  </si>
  <si>
    <t>0.03012</t>
  </si>
  <si>
    <t>0.03464</t>
  </si>
  <si>
    <t>0.02992</t>
  </si>
  <si>
    <t>0.03261</t>
  </si>
  <si>
    <t>0.01479</t>
  </si>
  <si>
    <t>0.09253</t>
  </si>
  <si>
    <t>7.39</t>
  </si>
  <si>
    <t>BDTBP</t>
  </si>
  <si>
    <t>0.1000</t>
  </si>
  <si>
    <t>7.68</t>
  </si>
  <si>
    <t>D9-THC</t>
  </si>
  <si>
    <t>0.09508</t>
  </si>
  <si>
    <t>0.02727</t>
  </si>
  <si>
    <t>0.2936</t>
  </si>
  <si>
    <t>3.031</t>
  </si>
  <si>
    <t>3.135</t>
  </si>
  <si>
    <t>3.114</t>
  </si>
  <si>
    <t>2.852</t>
  </si>
  <si>
    <t>2.974</t>
  </si>
  <si>
    <t>3.292</t>
  </si>
  <si>
    <t>3.065</t>
  </si>
  <si>
    <t>3.304</t>
  </si>
  <si>
    <t>3.336</t>
  </si>
  <si>
    <t>3.279</t>
  </si>
  <si>
    <t>2.818</t>
  </si>
  <si>
    <t>0.02688</t>
  </si>
  <si>
    <t>3.083</t>
  </si>
  <si>
    <t>2.940</t>
  </si>
  <si>
    <t>3.005</t>
  </si>
  <si>
    <t>2.882</t>
  </si>
  <si>
    <t>2.879</t>
  </si>
  <si>
    <t>2.771</t>
  </si>
  <si>
    <t>2.849</t>
  </si>
  <si>
    <t>2.922</t>
  </si>
  <si>
    <t>0.09255</t>
  </si>
  <si>
    <t>0.02669</t>
  </si>
  <si>
    <t>0.6088</t>
  </si>
  <si>
    <t>5.326</t>
  </si>
  <si>
    <t>5.005</t>
  </si>
  <si>
    <t>5.408</t>
  </si>
  <si>
    <t>5.405</t>
  </si>
  <si>
    <t>0.5745</t>
  </si>
  <si>
    <t>0.5536</t>
  </si>
  <si>
    <t>0.5510</t>
  </si>
  <si>
    <t>1.185</t>
  </si>
  <si>
    <t>3.181</t>
  </si>
  <si>
    <t>0.09122</t>
  </si>
  <si>
    <t>0.02661</t>
  </si>
  <si>
    <t>0.2799</t>
  </si>
  <si>
    <t>3.377</t>
  </si>
  <si>
    <t>4.029</t>
  </si>
  <si>
    <t>3.341</t>
  </si>
  <si>
    <t>3.653</t>
  </si>
  <si>
    <t>3.610</t>
  </si>
  <si>
    <t>0.09117</t>
  </si>
  <si>
    <t>0.02659</t>
  </si>
  <si>
    <t>7.95</t>
  </si>
  <si>
    <t>D8-THC</t>
  </si>
  <si>
    <t>0.0007395</t>
  </si>
  <si>
    <t>0.02751</t>
  </si>
  <si>
    <t>0.02705</t>
  </si>
  <si>
    <t>0.0006818</t>
  </si>
  <si>
    <t>0.02686</t>
  </si>
  <si>
    <t>0.03271</t>
  </si>
  <si>
    <t>0.1048</t>
  </si>
  <si>
    <t>0.0006568</t>
  </si>
  <si>
    <t>0.0006593</t>
  </si>
  <si>
    <t>0.02674</t>
  </si>
  <si>
    <t>8.75</t>
  </si>
  <si>
    <t>CBL</t>
  </si>
  <si>
    <t>0.02294</t>
  </si>
  <si>
    <t>0.02248</t>
  </si>
  <si>
    <t>0.02223</t>
  </si>
  <si>
    <t>0.02218</t>
  </si>
  <si>
    <t>0.02216</t>
  </si>
  <si>
    <t>9.00</t>
  </si>
  <si>
    <t>THCA</t>
  </si>
  <si>
    <t>0.09096</t>
  </si>
  <si>
    <t>0.02810</t>
  </si>
  <si>
    <t>0.2937</t>
  </si>
  <si>
    <t>0.09018</t>
  </si>
  <si>
    <t>0.02709</t>
  </si>
  <si>
    <t>0.4860</t>
  </si>
  <si>
    <t>0.01098</t>
  </si>
  <si>
    <t>0.08865</t>
  </si>
  <si>
    <t>0.2840</t>
  </si>
  <si>
    <t>0.08846</t>
  </si>
  <si>
    <t>9.19</t>
  </si>
  <si>
    <t>CBC</t>
  </si>
  <si>
    <t>0.02742</t>
  </si>
  <si>
    <t>0.04880</t>
  </si>
  <si>
    <t>0.05027</t>
  </si>
  <si>
    <t>0.04446</t>
  </si>
  <si>
    <t>0.04179</t>
  </si>
  <si>
    <t>0.04292</t>
  </si>
  <si>
    <t>0.04672</t>
  </si>
  <si>
    <t>0.04420</t>
  </si>
  <si>
    <t>0.05239</t>
  </si>
  <si>
    <t>0.04712</t>
  </si>
  <si>
    <t>0.04652</t>
  </si>
  <si>
    <t>0.04148</t>
  </si>
  <si>
    <t>0.02702</t>
  </si>
  <si>
    <t>0.04436</t>
  </si>
  <si>
    <t>0.04297</t>
  </si>
  <si>
    <t>0.04410</t>
  </si>
  <si>
    <t>0.04232</t>
  </si>
  <si>
    <t>0.04236</t>
  </si>
  <si>
    <t>0.04129</t>
  </si>
  <si>
    <t>0.04158</t>
  </si>
  <si>
    <t>0.04269</t>
  </si>
  <si>
    <t>0.02678</t>
  </si>
  <si>
    <t>0.01481</t>
  </si>
  <si>
    <t>0.01407</t>
  </si>
  <si>
    <t>0.01492</t>
  </si>
  <si>
    <t>0.01485</t>
  </si>
  <si>
    <t>0.02761</t>
  </si>
  <si>
    <t>0.02671</t>
  </si>
  <si>
    <t>0.05421</t>
  </si>
  <si>
    <t>0.06308</t>
  </si>
  <si>
    <t>0.05375</t>
  </si>
  <si>
    <t>0.05812</t>
  </si>
  <si>
    <t>0.05647</t>
  </si>
  <si>
    <t>9.77</t>
  </si>
  <si>
    <t>CBCA</t>
  </si>
  <si>
    <t>0.02767</t>
  </si>
  <si>
    <t>0.02712</t>
  </si>
  <si>
    <t>0.02655</t>
  </si>
  <si>
    <t>0.02647</t>
  </si>
  <si>
    <t>9.96</t>
  </si>
  <si>
    <t>CBLA</t>
  </si>
  <si>
    <t>0.02753</t>
  </si>
  <si>
    <t>0.02692</t>
  </si>
  <si>
    <t>0.02649</t>
  </si>
  <si>
    <t>0.02635</t>
  </si>
  <si>
    <t>11.13</t>
  </si>
  <si>
    <t>CBT</t>
  </si>
  <si>
    <t>0.02916</t>
  </si>
  <si>
    <t>0.02894</t>
  </si>
  <si>
    <t>0.02873</t>
  </si>
  <si>
    <t>0.005396</t>
  </si>
  <si>
    <t>0.05453</t>
  </si>
  <si>
    <t>0.05234</t>
  </si>
  <si>
    <t>0.05615</t>
  </si>
  <si>
    <t>0.05627</t>
  </si>
  <si>
    <t>0.005874</t>
  </si>
  <si>
    <t>0.02893</t>
  </si>
  <si>
    <t>0.02861</t>
  </si>
  <si>
    <t>Area</t>
  </si>
  <si>
    <t>SAMPLE</t>
  </si>
  <si>
    <t>BDTBP Amount</t>
  </si>
  <si>
    <t>BDTBP Area</t>
  </si>
  <si>
    <t>BzP Area</t>
  </si>
  <si>
    <t>DILUTION</t>
  </si>
  <si>
    <t>SURROGATE VARIANCE</t>
  </si>
  <si>
    <t>ISTD VARIANCE</t>
  </si>
  <si>
    <t>Low CCV Inj.1</t>
  </si>
  <si>
    <t>BS-CIPs-8594Inj. 1</t>
  </si>
  <si>
    <t>Dup-15042Inj. 1</t>
  </si>
  <si>
    <t>BS-LDB-8600Inj. 1</t>
  </si>
  <si>
    <t>Dup-15049Inj. 1</t>
  </si>
  <si>
    <t>BS-CIPs-8596Inj. 1</t>
  </si>
  <si>
    <t>Dup-15061Inj. 1</t>
  </si>
  <si>
    <t>Instrument</t>
  </si>
  <si>
    <t>BzP Nominal</t>
  </si>
  <si>
    <t>BDTBP Nominal</t>
  </si>
  <si>
    <t>Analyte</t>
  </si>
  <si>
    <t>Dup Injection 1</t>
  </si>
  <si>
    <t>Dup Injection 2</t>
  </si>
  <si>
    <t>Value 1</t>
  </si>
  <si>
    <t>Value 2</t>
  </si>
  <si>
    <t>Weight 1</t>
  </si>
  <si>
    <t>Weight 2</t>
  </si>
  <si>
    <t>Val1/Wt1</t>
  </si>
  <si>
    <t>Val2/Wt2</t>
  </si>
  <si>
    <t>RPD (%)</t>
  </si>
  <si>
    <t>Result</t>
  </si>
  <si>
    <t>15042 Inj</t>
  </si>
  <si>
    <t>Pass</t>
  </si>
  <si>
    <t>15049 Inj</t>
  </si>
  <si>
    <t>15061 Inj</t>
  </si>
  <si>
    <t>sample mass</t>
  </si>
  <si>
    <t>dilution</t>
  </si>
  <si>
    <t>serving mass</t>
  </si>
  <si>
    <t>serving per package</t>
  </si>
  <si>
    <t>15215 Inj. 1</t>
  </si>
  <si>
    <t>15215-1 Inj. 1</t>
  </si>
  <si>
    <t>15215-2 Inj. 1</t>
  </si>
  <si>
    <t>15216 Inj. 1</t>
  </si>
  <si>
    <t>15216-1 Inj. 1</t>
  </si>
  <si>
    <t>15217 Inj. 1</t>
  </si>
  <si>
    <t>15217-1 Inj. 1</t>
  </si>
  <si>
    <t>15218 Inj.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</si>
</sst>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</font>
    <font>
      <b/>
      <sz val="8"/>
      <color rgb="FF1E90FF"/>
      <name val="Arial"/>
    </font>
    <font>
      <sz val="8"/>
      <color rgb="FF000000"/>
      <name val="Arial"/>
    </font>
    <font>
      <sz val="11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9" fontId="0" fillId="0" borderId="0" xfId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9" fontId="0" fillId="0" borderId="0" xfId="1" applyFont="1" applyAlignment="1">
      <alignment horizontal="center"/>
    </xf>
    <xf numFmtId="0" fontId="0" fillId="2" borderId="0" xfId="0" applyFill="1"/>
    <xf numFmtId="0" fontId="0" fillId="0" borderId="0" xfId="0"/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112"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9686-0E02-47AF-B544-7F30875172BA}">
  <dimension ref="A1:AV44"/>
  <sheetViews>
    <sheetView topLeftCell="AA11" workbookViewId="0">
      <selection sqref="A1:XFD21"/>
    </sheetView>
  </sheetViews>
  <sheetFormatPr defaultRowHeight="14.25" x14ac:dyDescent="0.2"/>
  <cols>
    <col min="2" max="2" width="18" customWidth="1"/>
    <col min="3" max="3" width="7.5" customWidth="1"/>
    <col min="4" max="48" width="10.5" customWidth="1"/>
  </cols>
  <sheetData>
    <row r="1" spans="1:48" ht="12.95" customHeight="1" x14ac:dyDescent="0.2">
      <c r="A1" s="13"/>
      <c r="B1" s="13"/>
      <c r="C1" s="13"/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25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24</v>
      </c>
      <c r="AB1" s="4" t="s">
        <v>25</v>
      </c>
      <c r="AC1" s="4" t="s">
        <v>46</v>
      </c>
      <c r="AD1" s="4" t="s">
        <v>47</v>
      </c>
      <c r="AE1" s="4" t="s">
        <v>48</v>
      </c>
      <c r="AF1" s="4" t="s">
        <v>49</v>
      </c>
      <c r="AG1" s="4" t="s">
        <v>50</v>
      </c>
      <c r="AH1" s="4" t="s">
        <v>51</v>
      </c>
      <c r="AI1" s="4" t="s">
        <v>52</v>
      </c>
      <c r="AJ1" s="4" t="s">
        <v>53</v>
      </c>
      <c r="AK1" s="4" t="s">
        <v>54</v>
      </c>
      <c r="AL1" s="4" t="s">
        <v>55</v>
      </c>
      <c r="AM1" s="4" t="s">
        <v>24</v>
      </c>
      <c r="AN1" s="4" t="s">
        <v>25</v>
      </c>
      <c r="AO1" s="4" t="s">
        <v>56</v>
      </c>
      <c r="AP1" s="4" t="s">
        <v>57</v>
      </c>
      <c r="AQ1" s="4" t="s">
        <v>58</v>
      </c>
      <c r="AR1" s="4" t="s">
        <v>59</v>
      </c>
      <c r="AS1" s="4" t="s">
        <v>60</v>
      </c>
      <c r="AT1" s="4" t="s">
        <v>61</v>
      </c>
      <c r="AU1" s="4" t="s">
        <v>24</v>
      </c>
      <c r="AV1" s="4" t="s">
        <v>25</v>
      </c>
    </row>
    <row r="2" spans="1:48" ht="12.95" customHeight="1" x14ac:dyDescent="0.2">
      <c r="A2" s="4" t="s">
        <v>79</v>
      </c>
      <c r="B2" s="4" t="s">
        <v>80</v>
      </c>
      <c r="C2" s="3" t="s">
        <v>62</v>
      </c>
      <c r="D2" s="1" t="s">
        <v>63</v>
      </c>
      <c r="E2" s="1" t="s">
        <v>81</v>
      </c>
      <c r="F2" s="1" t="s">
        <v>82</v>
      </c>
      <c r="G2" s="1" t="s">
        <v>63</v>
      </c>
      <c r="H2" s="1" t="s">
        <v>63</v>
      </c>
      <c r="I2" s="1" t="s">
        <v>63</v>
      </c>
      <c r="J2" s="1" t="s">
        <v>63</v>
      </c>
      <c r="K2" s="1" t="s">
        <v>63</v>
      </c>
      <c r="L2" s="1" t="s">
        <v>63</v>
      </c>
      <c r="M2" s="1" t="s">
        <v>63</v>
      </c>
      <c r="N2" s="1" t="s">
        <v>63</v>
      </c>
      <c r="O2" s="1" t="s">
        <v>63</v>
      </c>
      <c r="P2" s="1" t="s">
        <v>63</v>
      </c>
      <c r="Q2" s="1" t="s">
        <v>63</v>
      </c>
      <c r="R2" s="1" t="s">
        <v>83</v>
      </c>
      <c r="S2" s="1" t="s">
        <v>63</v>
      </c>
      <c r="T2" s="1" t="s">
        <v>63</v>
      </c>
      <c r="U2" s="1" t="s">
        <v>63</v>
      </c>
      <c r="V2" s="1" t="s">
        <v>63</v>
      </c>
      <c r="W2" s="1" t="s">
        <v>63</v>
      </c>
      <c r="X2" s="1" t="s">
        <v>63</v>
      </c>
      <c r="Y2" s="1" t="s">
        <v>63</v>
      </c>
      <c r="Z2" s="1" t="s">
        <v>63</v>
      </c>
      <c r="AA2" s="1" t="s">
        <v>63</v>
      </c>
      <c r="AB2" s="1" t="s">
        <v>84</v>
      </c>
      <c r="AC2" s="1" t="s">
        <v>85</v>
      </c>
      <c r="AD2" s="1" t="s">
        <v>63</v>
      </c>
      <c r="AE2" s="1" t="s">
        <v>63</v>
      </c>
      <c r="AF2" s="1" t="s">
        <v>63</v>
      </c>
      <c r="AG2" s="1" t="s">
        <v>63</v>
      </c>
      <c r="AH2" s="1" t="s">
        <v>63</v>
      </c>
      <c r="AI2" s="1" t="s">
        <v>63</v>
      </c>
      <c r="AJ2" s="1" t="s">
        <v>63</v>
      </c>
      <c r="AK2" s="1" t="s">
        <v>63</v>
      </c>
      <c r="AL2" s="1" t="s">
        <v>63</v>
      </c>
      <c r="AM2" s="1" t="s">
        <v>63</v>
      </c>
      <c r="AN2" s="1" t="s">
        <v>86</v>
      </c>
      <c r="AO2" s="1" t="s">
        <v>87</v>
      </c>
      <c r="AP2" s="1" t="s">
        <v>63</v>
      </c>
      <c r="AQ2" s="1" t="s">
        <v>63</v>
      </c>
      <c r="AR2" s="1" t="s">
        <v>63</v>
      </c>
      <c r="AS2" s="1" t="s">
        <v>63</v>
      </c>
      <c r="AT2" s="1" t="s">
        <v>63</v>
      </c>
      <c r="AU2" s="1" t="s">
        <v>63</v>
      </c>
      <c r="AV2" s="1" t="s">
        <v>88</v>
      </c>
    </row>
    <row r="3" spans="1:48" ht="12.95" customHeight="1" x14ac:dyDescent="0.2">
      <c r="A3" s="4" t="s">
        <v>89</v>
      </c>
      <c r="B3" s="4" t="s">
        <v>90</v>
      </c>
      <c r="C3" s="3" t="s">
        <v>62</v>
      </c>
      <c r="D3" s="1" t="s">
        <v>63</v>
      </c>
      <c r="E3" s="1" t="s">
        <v>91</v>
      </c>
      <c r="F3" s="1" t="s">
        <v>63</v>
      </c>
      <c r="G3" s="1" t="s">
        <v>63</v>
      </c>
      <c r="H3" s="1" t="s">
        <v>63</v>
      </c>
      <c r="I3" s="1" t="s">
        <v>63</v>
      </c>
      <c r="J3" s="1" t="s">
        <v>63</v>
      </c>
      <c r="K3" s="1" t="s">
        <v>63</v>
      </c>
      <c r="L3" s="1" t="s">
        <v>63</v>
      </c>
      <c r="M3" s="1" t="s">
        <v>63</v>
      </c>
      <c r="N3" s="1" t="s">
        <v>63</v>
      </c>
      <c r="O3" s="1" t="s">
        <v>63</v>
      </c>
      <c r="P3" s="1" t="s">
        <v>63</v>
      </c>
      <c r="Q3" s="1" t="s">
        <v>63</v>
      </c>
      <c r="R3" s="1" t="s">
        <v>92</v>
      </c>
      <c r="S3" s="1" t="s">
        <v>63</v>
      </c>
      <c r="T3" s="1" t="s">
        <v>63</v>
      </c>
      <c r="U3" s="1" t="s">
        <v>63</v>
      </c>
      <c r="V3" s="1" t="s">
        <v>63</v>
      </c>
      <c r="W3" s="1" t="s">
        <v>63</v>
      </c>
      <c r="X3" s="1" t="s">
        <v>63</v>
      </c>
      <c r="Y3" s="1" t="s">
        <v>63</v>
      </c>
      <c r="Z3" s="1" t="s">
        <v>63</v>
      </c>
      <c r="AA3" s="1" t="s">
        <v>63</v>
      </c>
      <c r="AB3" s="1" t="s">
        <v>93</v>
      </c>
      <c r="AC3" s="1" t="s">
        <v>94</v>
      </c>
      <c r="AD3" s="1" t="s">
        <v>63</v>
      </c>
      <c r="AE3" s="1" t="s">
        <v>95</v>
      </c>
      <c r="AF3" s="1" t="s">
        <v>96</v>
      </c>
      <c r="AG3" s="1" t="s">
        <v>97</v>
      </c>
      <c r="AH3" s="1" t="s">
        <v>63</v>
      </c>
      <c r="AI3" s="1" t="s">
        <v>63</v>
      </c>
      <c r="AJ3" s="1" t="s">
        <v>63</v>
      </c>
      <c r="AK3" s="1" t="s">
        <v>63</v>
      </c>
      <c r="AL3" s="1" t="s">
        <v>63</v>
      </c>
      <c r="AM3" s="1" t="s">
        <v>63</v>
      </c>
      <c r="AN3" s="1" t="s">
        <v>98</v>
      </c>
      <c r="AO3" s="1" t="s">
        <v>63</v>
      </c>
      <c r="AP3" s="1" t="s">
        <v>63</v>
      </c>
      <c r="AQ3" s="1" t="s">
        <v>63</v>
      </c>
      <c r="AR3" s="1" t="s">
        <v>63</v>
      </c>
      <c r="AS3" s="1" t="s">
        <v>63</v>
      </c>
      <c r="AT3" s="1" t="s">
        <v>63</v>
      </c>
      <c r="AU3" s="1" t="s">
        <v>63</v>
      </c>
      <c r="AV3" s="1" t="s">
        <v>99</v>
      </c>
    </row>
    <row r="4" spans="1:48" ht="12.95" customHeight="1" x14ac:dyDescent="0.2">
      <c r="A4" s="4" t="s">
        <v>100</v>
      </c>
      <c r="B4" s="4" t="s">
        <v>101</v>
      </c>
      <c r="C4" s="3" t="s">
        <v>62</v>
      </c>
      <c r="D4" s="1" t="s">
        <v>102</v>
      </c>
      <c r="E4" s="1" t="s">
        <v>103</v>
      </c>
      <c r="F4" s="1" t="s">
        <v>104</v>
      </c>
      <c r="G4" s="1" t="s">
        <v>63</v>
      </c>
      <c r="H4" s="1" t="s">
        <v>63</v>
      </c>
      <c r="I4" s="1" t="s">
        <v>63</v>
      </c>
      <c r="J4" s="1" t="s">
        <v>63</v>
      </c>
      <c r="K4" s="1" t="s">
        <v>63</v>
      </c>
      <c r="L4" s="1" t="s">
        <v>63</v>
      </c>
      <c r="M4" s="1" t="s">
        <v>63</v>
      </c>
      <c r="N4" s="1" t="s">
        <v>63</v>
      </c>
      <c r="O4" s="1" t="s">
        <v>63</v>
      </c>
      <c r="P4" s="1" t="s">
        <v>63</v>
      </c>
      <c r="Q4" s="1" t="s">
        <v>63</v>
      </c>
      <c r="R4" s="1" t="s">
        <v>105</v>
      </c>
      <c r="S4" s="1" t="s">
        <v>63</v>
      </c>
      <c r="T4" s="1" t="s">
        <v>63</v>
      </c>
      <c r="U4" s="1" t="s">
        <v>63</v>
      </c>
      <c r="V4" s="1" t="s">
        <v>63</v>
      </c>
      <c r="W4" s="1" t="s">
        <v>63</v>
      </c>
      <c r="X4" s="1" t="s">
        <v>63</v>
      </c>
      <c r="Y4" s="1" t="s">
        <v>63</v>
      </c>
      <c r="Z4" s="1" t="s">
        <v>63</v>
      </c>
      <c r="AA4" s="1" t="s">
        <v>106</v>
      </c>
      <c r="AB4" s="1" t="s">
        <v>107</v>
      </c>
      <c r="AC4" s="1" t="s">
        <v>108</v>
      </c>
      <c r="AD4" s="1" t="s">
        <v>109</v>
      </c>
      <c r="AE4" s="1" t="s">
        <v>110</v>
      </c>
      <c r="AF4" s="1" t="s">
        <v>111</v>
      </c>
      <c r="AG4" s="1" t="s">
        <v>112</v>
      </c>
      <c r="AH4" s="1" t="s">
        <v>63</v>
      </c>
      <c r="AI4" s="1" t="s">
        <v>63</v>
      </c>
      <c r="AJ4" s="1" t="s">
        <v>63</v>
      </c>
      <c r="AK4" s="1" t="s">
        <v>63</v>
      </c>
      <c r="AL4" s="1" t="s">
        <v>113</v>
      </c>
      <c r="AM4" s="1" t="s">
        <v>114</v>
      </c>
      <c r="AN4" s="1" t="s">
        <v>115</v>
      </c>
      <c r="AO4" s="1" t="s">
        <v>116</v>
      </c>
      <c r="AP4" s="1" t="s">
        <v>63</v>
      </c>
      <c r="AQ4" s="1" t="s">
        <v>63</v>
      </c>
      <c r="AR4" s="1" t="s">
        <v>63</v>
      </c>
      <c r="AS4" s="1" t="s">
        <v>63</v>
      </c>
      <c r="AT4" s="1" t="s">
        <v>63</v>
      </c>
      <c r="AU4" s="1" t="s">
        <v>117</v>
      </c>
      <c r="AV4" s="1" t="s">
        <v>118</v>
      </c>
    </row>
    <row r="5" spans="1:48" ht="12.95" customHeight="1" x14ac:dyDescent="0.2">
      <c r="A5" s="4" t="s">
        <v>119</v>
      </c>
      <c r="B5" s="4" t="s">
        <v>120</v>
      </c>
      <c r="C5" s="3" t="s">
        <v>62</v>
      </c>
      <c r="D5" s="1" t="s">
        <v>63</v>
      </c>
      <c r="E5" s="1" t="s">
        <v>121</v>
      </c>
      <c r="F5" s="1" t="s">
        <v>122</v>
      </c>
      <c r="G5" s="1" t="s">
        <v>123</v>
      </c>
      <c r="H5" s="1" t="s">
        <v>124</v>
      </c>
      <c r="I5" s="1" t="s">
        <v>125</v>
      </c>
      <c r="J5" s="1" t="s">
        <v>126</v>
      </c>
      <c r="K5" s="1" t="s">
        <v>127</v>
      </c>
      <c r="L5" s="1" t="s">
        <v>128</v>
      </c>
      <c r="M5" s="1" t="s">
        <v>129</v>
      </c>
      <c r="N5" s="1" t="s">
        <v>130</v>
      </c>
      <c r="O5" s="1" t="s">
        <v>131</v>
      </c>
      <c r="P5" s="1" t="s">
        <v>132</v>
      </c>
      <c r="Q5" s="1" t="s">
        <v>133</v>
      </c>
      <c r="R5" s="1" t="s">
        <v>134</v>
      </c>
      <c r="S5" s="1" t="s">
        <v>135</v>
      </c>
      <c r="T5" s="1" t="s">
        <v>136</v>
      </c>
      <c r="U5" s="1" t="s">
        <v>137</v>
      </c>
      <c r="V5" s="1" t="s">
        <v>135</v>
      </c>
      <c r="W5" s="1" t="s">
        <v>138</v>
      </c>
      <c r="X5" s="1" t="s">
        <v>139</v>
      </c>
      <c r="Y5" s="1" t="s">
        <v>140</v>
      </c>
      <c r="Z5" s="1" t="s">
        <v>141</v>
      </c>
      <c r="AA5" s="1" t="s">
        <v>63</v>
      </c>
      <c r="AB5" s="1" t="s">
        <v>142</v>
      </c>
      <c r="AC5" s="1" t="s">
        <v>143</v>
      </c>
      <c r="AD5" s="1" t="s">
        <v>63</v>
      </c>
      <c r="AE5" s="1" t="s">
        <v>63</v>
      </c>
      <c r="AF5" s="1" t="s">
        <v>63</v>
      </c>
      <c r="AG5" s="1" t="s">
        <v>63</v>
      </c>
      <c r="AH5" s="1" t="s">
        <v>63</v>
      </c>
      <c r="AI5" s="1" t="s">
        <v>63</v>
      </c>
      <c r="AJ5" s="1" t="s">
        <v>63</v>
      </c>
      <c r="AK5" s="1" t="s">
        <v>63</v>
      </c>
      <c r="AL5" s="1" t="s">
        <v>63</v>
      </c>
      <c r="AM5" s="1" t="s">
        <v>63</v>
      </c>
      <c r="AN5" s="1" t="s">
        <v>144</v>
      </c>
      <c r="AO5" s="1" t="s">
        <v>145</v>
      </c>
      <c r="AP5" s="1" t="s">
        <v>63</v>
      </c>
      <c r="AQ5" s="1" t="s">
        <v>63</v>
      </c>
      <c r="AR5" s="1" t="s">
        <v>63</v>
      </c>
      <c r="AS5" s="1" t="s">
        <v>63</v>
      </c>
      <c r="AT5" s="1" t="s">
        <v>63</v>
      </c>
      <c r="AU5" s="1" t="s">
        <v>63</v>
      </c>
      <c r="AV5" s="1" t="s">
        <v>107</v>
      </c>
    </row>
    <row r="6" spans="1:48" ht="12.95" customHeight="1" x14ac:dyDescent="0.2">
      <c r="A6" s="4" t="s">
        <v>146</v>
      </c>
      <c r="B6" s="4" t="s">
        <v>147</v>
      </c>
      <c r="C6" s="3" t="s">
        <v>62</v>
      </c>
      <c r="D6" s="1" t="s">
        <v>63</v>
      </c>
      <c r="E6" s="1" t="s">
        <v>148</v>
      </c>
      <c r="F6" s="1" t="s">
        <v>149</v>
      </c>
      <c r="G6" s="1" t="s">
        <v>150</v>
      </c>
      <c r="H6" s="1" t="s">
        <v>151</v>
      </c>
      <c r="I6" s="1" t="s">
        <v>152</v>
      </c>
      <c r="J6" s="1" t="s">
        <v>153</v>
      </c>
      <c r="K6" s="1" t="s">
        <v>154</v>
      </c>
      <c r="L6" s="1" t="s">
        <v>155</v>
      </c>
      <c r="M6" s="1" t="s">
        <v>156</v>
      </c>
      <c r="N6" s="1" t="s">
        <v>157</v>
      </c>
      <c r="O6" s="1" t="s">
        <v>158</v>
      </c>
      <c r="P6" s="1" t="s">
        <v>159</v>
      </c>
      <c r="Q6" s="1" t="s">
        <v>160</v>
      </c>
      <c r="R6" s="1" t="s">
        <v>161</v>
      </c>
      <c r="S6" s="1" t="s">
        <v>162</v>
      </c>
      <c r="T6" s="1" t="s">
        <v>163</v>
      </c>
      <c r="U6" s="1" t="s">
        <v>164</v>
      </c>
      <c r="V6" s="1" t="s">
        <v>165</v>
      </c>
      <c r="W6" s="1" t="s">
        <v>166</v>
      </c>
      <c r="X6" s="1" t="s">
        <v>167</v>
      </c>
      <c r="Y6" s="1" t="s">
        <v>168</v>
      </c>
      <c r="Z6" s="1" t="s">
        <v>169</v>
      </c>
      <c r="AA6" s="1" t="s">
        <v>63</v>
      </c>
      <c r="AB6" s="1" t="s">
        <v>170</v>
      </c>
      <c r="AC6" s="1" t="s">
        <v>171</v>
      </c>
      <c r="AD6" s="1" t="s">
        <v>172</v>
      </c>
      <c r="AE6" s="1" t="s">
        <v>173</v>
      </c>
      <c r="AF6" s="1" t="s">
        <v>174</v>
      </c>
      <c r="AG6" s="1" t="s">
        <v>175</v>
      </c>
      <c r="AH6" s="1" t="s">
        <v>176</v>
      </c>
      <c r="AI6" s="1" t="s">
        <v>177</v>
      </c>
      <c r="AJ6" s="1" t="s">
        <v>178</v>
      </c>
      <c r="AK6" s="1" t="s">
        <v>179</v>
      </c>
      <c r="AL6" s="1" t="s">
        <v>180</v>
      </c>
      <c r="AM6" s="1" t="s">
        <v>63</v>
      </c>
      <c r="AN6" s="1" t="s">
        <v>181</v>
      </c>
      <c r="AO6" s="1" t="s">
        <v>132</v>
      </c>
      <c r="AP6" s="1" t="s">
        <v>182</v>
      </c>
      <c r="AQ6" s="1" t="s">
        <v>183</v>
      </c>
      <c r="AR6" s="1" t="s">
        <v>184</v>
      </c>
      <c r="AS6" s="1" t="s">
        <v>185</v>
      </c>
      <c r="AT6" s="1" t="s">
        <v>186</v>
      </c>
      <c r="AU6" s="1" t="s">
        <v>63</v>
      </c>
      <c r="AV6" s="1" t="s">
        <v>181</v>
      </c>
    </row>
    <row r="7" spans="1:48" ht="12.95" customHeight="1" x14ac:dyDescent="0.2">
      <c r="A7" s="4" t="s">
        <v>187</v>
      </c>
      <c r="B7" s="4" t="s">
        <v>188</v>
      </c>
      <c r="C7" s="3" t="s">
        <v>62</v>
      </c>
      <c r="D7" s="1" t="s">
        <v>189</v>
      </c>
      <c r="E7" s="1" t="s">
        <v>190</v>
      </c>
      <c r="F7" s="1" t="s">
        <v>191</v>
      </c>
      <c r="G7" s="1" t="s">
        <v>63</v>
      </c>
      <c r="H7" s="1" t="s">
        <v>63</v>
      </c>
      <c r="I7" s="1" t="s">
        <v>63</v>
      </c>
      <c r="J7" s="1" t="s">
        <v>63</v>
      </c>
      <c r="K7" s="1" t="s">
        <v>63</v>
      </c>
      <c r="L7" s="1" t="s">
        <v>63</v>
      </c>
      <c r="M7" s="1" t="s">
        <v>63</v>
      </c>
      <c r="N7" s="1" t="s">
        <v>63</v>
      </c>
      <c r="O7" s="1" t="s">
        <v>63</v>
      </c>
      <c r="P7" s="1" t="s">
        <v>63</v>
      </c>
      <c r="Q7" s="1" t="s">
        <v>63</v>
      </c>
      <c r="R7" s="1" t="s">
        <v>192</v>
      </c>
      <c r="S7" s="1" t="s">
        <v>63</v>
      </c>
      <c r="T7" s="1" t="s">
        <v>63</v>
      </c>
      <c r="U7" s="1" t="s">
        <v>63</v>
      </c>
      <c r="V7" s="1" t="s">
        <v>63</v>
      </c>
      <c r="W7" s="1" t="s">
        <v>63</v>
      </c>
      <c r="X7" s="1" t="s">
        <v>63</v>
      </c>
      <c r="Y7" s="1" t="s">
        <v>63</v>
      </c>
      <c r="Z7" s="1" t="s">
        <v>63</v>
      </c>
      <c r="AA7" s="1" t="s">
        <v>193</v>
      </c>
      <c r="AB7" s="1" t="s">
        <v>194</v>
      </c>
      <c r="AC7" s="1" t="s">
        <v>195</v>
      </c>
      <c r="AD7" s="1" t="s">
        <v>196</v>
      </c>
      <c r="AE7" s="1" t="s">
        <v>135</v>
      </c>
      <c r="AF7" s="1" t="s">
        <v>197</v>
      </c>
      <c r="AG7" s="1" t="s">
        <v>198</v>
      </c>
      <c r="AH7" s="1" t="s">
        <v>63</v>
      </c>
      <c r="AI7" s="1" t="s">
        <v>63</v>
      </c>
      <c r="AJ7" s="1" t="s">
        <v>63</v>
      </c>
      <c r="AK7" s="1" t="s">
        <v>199</v>
      </c>
      <c r="AL7" s="1" t="s">
        <v>200</v>
      </c>
      <c r="AM7" s="1" t="s">
        <v>201</v>
      </c>
      <c r="AN7" s="1" t="s">
        <v>118</v>
      </c>
      <c r="AO7" s="1" t="s">
        <v>202</v>
      </c>
      <c r="AP7" s="1" t="s">
        <v>63</v>
      </c>
      <c r="AQ7" s="1" t="s">
        <v>63</v>
      </c>
      <c r="AR7" s="1" t="s">
        <v>63</v>
      </c>
      <c r="AS7" s="1" t="s">
        <v>63</v>
      </c>
      <c r="AT7" s="1" t="s">
        <v>63</v>
      </c>
      <c r="AU7" s="1" t="s">
        <v>203</v>
      </c>
      <c r="AV7" s="1" t="s">
        <v>118</v>
      </c>
    </row>
    <row r="8" spans="1:48" ht="12.95" customHeight="1" x14ac:dyDescent="0.2">
      <c r="A8" s="4" t="s">
        <v>204</v>
      </c>
      <c r="B8" s="4" t="s">
        <v>205</v>
      </c>
      <c r="C8" s="3" t="s">
        <v>62</v>
      </c>
      <c r="D8" s="1" t="s">
        <v>206</v>
      </c>
      <c r="E8" s="1" t="s">
        <v>207</v>
      </c>
      <c r="F8" s="1" t="s">
        <v>63</v>
      </c>
      <c r="G8" s="1" t="s">
        <v>208</v>
      </c>
      <c r="H8" s="1" t="s">
        <v>209</v>
      </c>
      <c r="I8" s="1" t="s">
        <v>170</v>
      </c>
      <c r="J8" s="1" t="s">
        <v>210</v>
      </c>
      <c r="K8" s="1" t="s">
        <v>211</v>
      </c>
      <c r="L8" s="1" t="s">
        <v>212</v>
      </c>
      <c r="M8" s="1" t="s">
        <v>213</v>
      </c>
      <c r="N8" s="1" t="s">
        <v>214</v>
      </c>
      <c r="O8" s="1" t="s">
        <v>215</v>
      </c>
      <c r="P8" s="1" t="s">
        <v>216</v>
      </c>
      <c r="Q8" s="1" t="s">
        <v>217</v>
      </c>
      <c r="R8" s="1" t="s">
        <v>218</v>
      </c>
      <c r="S8" s="1" t="s">
        <v>219</v>
      </c>
      <c r="T8" s="1" t="s">
        <v>220</v>
      </c>
      <c r="U8" s="1" t="s">
        <v>221</v>
      </c>
      <c r="V8" s="1" t="s">
        <v>222</v>
      </c>
      <c r="W8" s="1" t="s">
        <v>223</v>
      </c>
      <c r="X8" s="1" t="s">
        <v>224</v>
      </c>
      <c r="Y8" s="1" t="s">
        <v>225</v>
      </c>
      <c r="Z8" s="1" t="s">
        <v>226</v>
      </c>
      <c r="AA8" s="1" t="s">
        <v>227</v>
      </c>
      <c r="AB8" s="1" t="s">
        <v>228</v>
      </c>
      <c r="AC8" s="1" t="s">
        <v>229</v>
      </c>
      <c r="AD8" s="1" t="s">
        <v>230</v>
      </c>
      <c r="AE8" s="1" t="s">
        <v>231</v>
      </c>
      <c r="AF8" s="1" t="s">
        <v>232</v>
      </c>
      <c r="AG8" s="1" t="s">
        <v>233</v>
      </c>
      <c r="AH8" s="1" t="s">
        <v>234</v>
      </c>
      <c r="AI8" s="1" t="s">
        <v>63</v>
      </c>
      <c r="AJ8" s="1" t="s">
        <v>63</v>
      </c>
      <c r="AK8" s="1" t="s">
        <v>235</v>
      </c>
      <c r="AL8" s="1" t="s">
        <v>236</v>
      </c>
      <c r="AM8" s="1" t="s">
        <v>237</v>
      </c>
      <c r="AN8" s="1" t="s">
        <v>238</v>
      </c>
      <c r="AO8" s="1" t="s">
        <v>63</v>
      </c>
      <c r="AP8" s="1" t="s">
        <v>239</v>
      </c>
      <c r="AQ8" s="1" t="s">
        <v>240</v>
      </c>
      <c r="AR8" s="1" t="s">
        <v>241</v>
      </c>
      <c r="AS8" s="1" t="s">
        <v>242</v>
      </c>
      <c r="AT8" s="1" t="s">
        <v>243</v>
      </c>
      <c r="AU8" s="1" t="s">
        <v>244</v>
      </c>
      <c r="AV8" s="1" t="s">
        <v>245</v>
      </c>
    </row>
    <row r="9" spans="1:48" ht="12.95" customHeight="1" x14ac:dyDescent="0.2">
      <c r="A9" s="4" t="s">
        <v>246</v>
      </c>
      <c r="B9" s="4" t="s">
        <v>247</v>
      </c>
      <c r="C9" s="3" t="s">
        <v>62</v>
      </c>
      <c r="D9" s="1" t="s">
        <v>63</v>
      </c>
      <c r="E9" s="1" t="s">
        <v>248</v>
      </c>
      <c r="F9" s="1" t="s">
        <v>63</v>
      </c>
      <c r="G9" s="1" t="s">
        <v>63</v>
      </c>
      <c r="H9" s="1" t="s">
        <v>63</v>
      </c>
      <c r="I9" s="1" t="s">
        <v>63</v>
      </c>
      <c r="J9" s="1" t="s">
        <v>63</v>
      </c>
      <c r="K9" s="1" t="s">
        <v>63</v>
      </c>
      <c r="L9" s="1" t="s">
        <v>63</v>
      </c>
      <c r="M9" s="1" t="s">
        <v>63</v>
      </c>
      <c r="N9" s="1" t="s">
        <v>63</v>
      </c>
      <c r="O9" s="1" t="s">
        <v>63</v>
      </c>
      <c r="P9" s="1" t="s">
        <v>63</v>
      </c>
      <c r="Q9" s="1" t="s">
        <v>63</v>
      </c>
      <c r="R9" s="1" t="s">
        <v>249</v>
      </c>
      <c r="S9" s="1" t="s">
        <v>63</v>
      </c>
      <c r="T9" s="1" t="s">
        <v>63</v>
      </c>
      <c r="U9" s="1" t="s">
        <v>63</v>
      </c>
      <c r="V9" s="1" t="s">
        <v>63</v>
      </c>
      <c r="W9" s="1" t="s">
        <v>63</v>
      </c>
      <c r="X9" s="1" t="s">
        <v>63</v>
      </c>
      <c r="Y9" s="1" t="s">
        <v>63</v>
      </c>
      <c r="Z9" s="1" t="s">
        <v>63</v>
      </c>
      <c r="AA9" s="1" t="s">
        <v>63</v>
      </c>
      <c r="AB9" s="1" t="s">
        <v>250</v>
      </c>
      <c r="AC9" s="1" t="s">
        <v>251</v>
      </c>
      <c r="AD9" s="1" t="s">
        <v>63</v>
      </c>
      <c r="AE9" s="1" t="s">
        <v>63</v>
      </c>
      <c r="AF9" s="1" t="s">
        <v>63</v>
      </c>
      <c r="AG9" s="1" t="s">
        <v>63</v>
      </c>
      <c r="AH9" s="1" t="s">
        <v>63</v>
      </c>
      <c r="AI9" s="1" t="s">
        <v>63</v>
      </c>
      <c r="AJ9" s="1" t="s">
        <v>63</v>
      </c>
      <c r="AK9" s="1" t="s">
        <v>63</v>
      </c>
      <c r="AL9" s="1" t="s">
        <v>63</v>
      </c>
      <c r="AM9" s="1" t="s">
        <v>252</v>
      </c>
      <c r="AN9" s="1" t="s">
        <v>107</v>
      </c>
      <c r="AO9" s="1" t="s">
        <v>63</v>
      </c>
      <c r="AP9" s="1" t="s">
        <v>63</v>
      </c>
      <c r="AQ9" s="1" t="s">
        <v>63</v>
      </c>
      <c r="AR9" s="1" t="s">
        <v>63</v>
      </c>
      <c r="AS9" s="1" t="s">
        <v>63</v>
      </c>
      <c r="AT9" s="1" t="s">
        <v>63</v>
      </c>
      <c r="AU9" s="1" t="s">
        <v>253</v>
      </c>
      <c r="AV9" s="1" t="s">
        <v>107</v>
      </c>
    </row>
    <row r="10" spans="1:48" ht="12.95" customHeight="1" x14ac:dyDescent="0.2">
      <c r="A10" s="4" t="s">
        <v>254</v>
      </c>
      <c r="B10" s="4" t="s">
        <v>255</v>
      </c>
      <c r="C10" s="3" t="s">
        <v>62</v>
      </c>
      <c r="D10" s="1" t="s">
        <v>63</v>
      </c>
      <c r="E10" s="1" t="s">
        <v>256</v>
      </c>
      <c r="F10" s="1" t="s">
        <v>63</v>
      </c>
      <c r="G10" s="1" t="s">
        <v>63</v>
      </c>
      <c r="H10" s="1" t="s">
        <v>63</v>
      </c>
      <c r="I10" s="1" t="s">
        <v>63</v>
      </c>
      <c r="J10" s="1" t="s">
        <v>63</v>
      </c>
      <c r="K10" s="1" t="s">
        <v>63</v>
      </c>
      <c r="L10" s="1" t="s">
        <v>63</v>
      </c>
      <c r="M10" s="1" t="s">
        <v>63</v>
      </c>
      <c r="N10" s="1" t="s">
        <v>63</v>
      </c>
      <c r="O10" s="1" t="s">
        <v>63</v>
      </c>
      <c r="P10" s="1" t="s">
        <v>63</v>
      </c>
      <c r="Q10" s="1" t="s">
        <v>63</v>
      </c>
      <c r="R10" s="1" t="s">
        <v>257</v>
      </c>
      <c r="S10" s="1" t="s">
        <v>63</v>
      </c>
      <c r="T10" s="1" t="s">
        <v>63</v>
      </c>
      <c r="U10" s="1" t="s">
        <v>63</v>
      </c>
      <c r="V10" s="1" t="s">
        <v>63</v>
      </c>
      <c r="W10" s="1" t="s">
        <v>63</v>
      </c>
      <c r="X10" s="1" t="s">
        <v>63</v>
      </c>
      <c r="Y10" s="1" t="s">
        <v>63</v>
      </c>
      <c r="Z10" s="1" t="s">
        <v>63</v>
      </c>
      <c r="AA10" s="1" t="s">
        <v>63</v>
      </c>
      <c r="AB10" s="1" t="s">
        <v>91</v>
      </c>
      <c r="AC10" s="1" t="s">
        <v>63</v>
      </c>
      <c r="AD10" s="1" t="s">
        <v>63</v>
      </c>
      <c r="AE10" s="1" t="s">
        <v>63</v>
      </c>
      <c r="AF10" s="1" t="s">
        <v>63</v>
      </c>
      <c r="AG10" s="1" t="s">
        <v>63</v>
      </c>
      <c r="AH10" s="1" t="s">
        <v>63</v>
      </c>
      <c r="AI10" s="1" t="s">
        <v>63</v>
      </c>
      <c r="AJ10" s="1" t="s">
        <v>63</v>
      </c>
      <c r="AK10" s="1" t="s">
        <v>63</v>
      </c>
      <c r="AL10" s="1" t="s">
        <v>63</v>
      </c>
      <c r="AM10" s="1" t="s">
        <v>63</v>
      </c>
      <c r="AN10" s="1" t="s">
        <v>258</v>
      </c>
      <c r="AO10" s="1" t="s">
        <v>63</v>
      </c>
      <c r="AP10" s="1" t="s">
        <v>63</v>
      </c>
      <c r="AQ10" s="1" t="s">
        <v>63</v>
      </c>
      <c r="AR10" s="1" t="s">
        <v>63</v>
      </c>
      <c r="AS10" s="1" t="s">
        <v>63</v>
      </c>
      <c r="AT10" s="1" t="s">
        <v>63</v>
      </c>
      <c r="AU10" s="1" t="s">
        <v>63</v>
      </c>
      <c r="AV10" s="1" t="s">
        <v>259</v>
      </c>
    </row>
    <row r="11" spans="1:48" ht="12.95" customHeight="1" x14ac:dyDescent="0.2">
      <c r="A11" s="4" t="s">
        <v>260</v>
      </c>
      <c r="B11" s="4" t="s">
        <v>261</v>
      </c>
      <c r="C11" s="3" t="s">
        <v>62</v>
      </c>
      <c r="D11" s="1" t="s">
        <v>262</v>
      </c>
      <c r="E11" s="1" t="s">
        <v>134</v>
      </c>
      <c r="F11" s="1" t="s">
        <v>63</v>
      </c>
      <c r="G11" s="1" t="s">
        <v>263</v>
      </c>
      <c r="H11" s="1" t="s">
        <v>264</v>
      </c>
      <c r="I11" s="1" t="s">
        <v>265</v>
      </c>
      <c r="J11" s="1" t="s">
        <v>266</v>
      </c>
      <c r="K11" s="1" t="s">
        <v>267</v>
      </c>
      <c r="L11" s="1" t="s">
        <v>268</v>
      </c>
      <c r="M11" s="1" t="s">
        <v>269</v>
      </c>
      <c r="N11" s="1" t="s">
        <v>270</v>
      </c>
      <c r="O11" s="1" t="s">
        <v>271</v>
      </c>
      <c r="P11" s="1" t="s">
        <v>272</v>
      </c>
      <c r="Q11" s="1" t="s">
        <v>273</v>
      </c>
      <c r="R11" s="1" t="s">
        <v>274</v>
      </c>
      <c r="S11" s="1" t="s">
        <v>275</v>
      </c>
      <c r="T11" s="1" t="s">
        <v>276</v>
      </c>
      <c r="U11" s="1" t="s">
        <v>277</v>
      </c>
      <c r="V11" s="1" t="s">
        <v>242</v>
      </c>
      <c r="W11" s="1" t="s">
        <v>278</v>
      </c>
      <c r="X11" s="1" t="s">
        <v>279</v>
      </c>
      <c r="Y11" s="1" t="s">
        <v>280</v>
      </c>
      <c r="Z11" s="1" t="s">
        <v>281</v>
      </c>
      <c r="AA11" s="1" t="s">
        <v>282</v>
      </c>
      <c r="AB11" s="1" t="s">
        <v>283</v>
      </c>
      <c r="AC11" s="1" t="s">
        <v>284</v>
      </c>
      <c r="AD11" s="1" t="s">
        <v>285</v>
      </c>
      <c r="AE11" s="1" t="s">
        <v>286</v>
      </c>
      <c r="AF11" s="1" t="s">
        <v>287</v>
      </c>
      <c r="AG11" s="1" t="s">
        <v>288</v>
      </c>
      <c r="AH11" s="1" t="s">
        <v>289</v>
      </c>
      <c r="AI11" s="1" t="s">
        <v>290</v>
      </c>
      <c r="AJ11" s="1" t="s">
        <v>291</v>
      </c>
      <c r="AK11" s="1" t="s">
        <v>292</v>
      </c>
      <c r="AL11" s="1" t="s">
        <v>293</v>
      </c>
      <c r="AM11" s="1" t="s">
        <v>294</v>
      </c>
      <c r="AN11" s="1" t="s">
        <v>295</v>
      </c>
      <c r="AO11" s="1" t="s">
        <v>63</v>
      </c>
      <c r="AP11" s="1" t="s">
        <v>296</v>
      </c>
      <c r="AQ11" s="1" t="s">
        <v>297</v>
      </c>
      <c r="AR11" s="1" t="s">
        <v>298</v>
      </c>
      <c r="AS11" s="1" t="s">
        <v>299</v>
      </c>
      <c r="AT11" s="1" t="s">
        <v>300</v>
      </c>
      <c r="AU11" s="1" t="s">
        <v>301</v>
      </c>
      <c r="AV11" s="1" t="s">
        <v>144</v>
      </c>
    </row>
    <row r="12" spans="1:48" ht="12.95" customHeight="1" x14ac:dyDescent="0.2">
      <c r="A12" s="4" t="s">
        <v>302</v>
      </c>
      <c r="B12" s="4" t="s">
        <v>303</v>
      </c>
      <c r="C12" s="3" t="s">
        <v>62</v>
      </c>
      <c r="D12" s="1" t="s">
        <v>304</v>
      </c>
      <c r="E12" s="1" t="s">
        <v>304</v>
      </c>
      <c r="F12" s="1" t="s">
        <v>304</v>
      </c>
      <c r="G12" s="1" t="s">
        <v>304</v>
      </c>
      <c r="H12" s="1" t="s">
        <v>304</v>
      </c>
      <c r="I12" s="1" t="s">
        <v>304</v>
      </c>
      <c r="J12" s="1" t="s">
        <v>304</v>
      </c>
      <c r="K12" s="1" t="s">
        <v>304</v>
      </c>
      <c r="L12" s="1" t="s">
        <v>304</v>
      </c>
      <c r="M12" s="1" t="s">
        <v>304</v>
      </c>
      <c r="N12" s="1" t="s">
        <v>304</v>
      </c>
      <c r="O12" s="1" t="s">
        <v>304</v>
      </c>
      <c r="P12" s="1" t="s">
        <v>304</v>
      </c>
      <c r="Q12" s="1" t="s">
        <v>304</v>
      </c>
      <c r="R12" s="1" t="s">
        <v>304</v>
      </c>
      <c r="S12" s="1" t="s">
        <v>304</v>
      </c>
      <c r="T12" s="1" t="s">
        <v>304</v>
      </c>
      <c r="U12" s="1" t="s">
        <v>304</v>
      </c>
      <c r="V12" s="1" t="s">
        <v>304</v>
      </c>
      <c r="W12" s="1" t="s">
        <v>304</v>
      </c>
      <c r="X12" s="1" t="s">
        <v>304</v>
      </c>
      <c r="Y12" s="1" t="s">
        <v>304</v>
      </c>
      <c r="Z12" s="1" t="s">
        <v>304</v>
      </c>
      <c r="AA12" s="1" t="s">
        <v>304</v>
      </c>
      <c r="AB12" s="1" t="s">
        <v>304</v>
      </c>
      <c r="AC12" s="1" t="s">
        <v>304</v>
      </c>
      <c r="AD12" s="1" t="s">
        <v>304</v>
      </c>
      <c r="AE12" s="1" t="s">
        <v>304</v>
      </c>
      <c r="AF12" s="1" t="s">
        <v>304</v>
      </c>
      <c r="AG12" s="1" t="s">
        <v>304</v>
      </c>
      <c r="AH12" s="1" t="s">
        <v>304</v>
      </c>
      <c r="AI12" s="1" t="s">
        <v>304</v>
      </c>
      <c r="AJ12" s="1" t="s">
        <v>304</v>
      </c>
      <c r="AK12" s="1" t="s">
        <v>304</v>
      </c>
      <c r="AL12" s="1" t="s">
        <v>304</v>
      </c>
      <c r="AM12" s="1" t="s">
        <v>304</v>
      </c>
      <c r="AN12" s="1" t="s">
        <v>304</v>
      </c>
      <c r="AO12" s="1" t="s">
        <v>304</v>
      </c>
      <c r="AP12" s="1" t="s">
        <v>304</v>
      </c>
      <c r="AQ12" s="1" t="s">
        <v>304</v>
      </c>
      <c r="AR12" s="1" t="s">
        <v>304</v>
      </c>
      <c r="AS12" s="1" t="s">
        <v>304</v>
      </c>
      <c r="AT12" s="1" t="s">
        <v>304</v>
      </c>
      <c r="AU12" s="1" t="s">
        <v>304</v>
      </c>
      <c r="AV12" s="1" t="s">
        <v>304</v>
      </c>
    </row>
    <row r="13" spans="1:48" ht="12.95" customHeight="1" x14ac:dyDescent="0.2">
      <c r="A13" s="4" t="s">
        <v>305</v>
      </c>
      <c r="B13" s="4" t="s">
        <v>306</v>
      </c>
      <c r="C13" s="3" t="s">
        <v>62</v>
      </c>
      <c r="D13" s="1" t="s">
        <v>307</v>
      </c>
      <c r="E13" s="1" t="s">
        <v>308</v>
      </c>
      <c r="F13" s="1" t="s">
        <v>309</v>
      </c>
      <c r="G13" s="1" t="s">
        <v>310</v>
      </c>
      <c r="H13" s="1" t="s">
        <v>311</v>
      </c>
      <c r="I13" s="1" t="s">
        <v>312</v>
      </c>
      <c r="J13" s="1" t="s">
        <v>313</v>
      </c>
      <c r="K13" s="1" t="s">
        <v>314</v>
      </c>
      <c r="L13" s="1" t="s">
        <v>315</v>
      </c>
      <c r="M13" s="1" t="s">
        <v>316</v>
      </c>
      <c r="N13" s="1" t="s">
        <v>317</v>
      </c>
      <c r="O13" s="1" t="s">
        <v>318</v>
      </c>
      <c r="P13" s="1" t="s">
        <v>319</v>
      </c>
      <c r="Q13" s="1" t="s">
        <v>320</v>
      </c>
      <c r="R13" s="1" t="s">
        <v>321</v>
      </c>
      <c r="S13" s="1" t="s">
        <v>322</v>
      </c>
      <c r="T13" s="1" t="s">
        <v>323</v>
      </c>
      <c r="U13" s="1" t="s">
        <v>324</v>
      </c>
      <c r="V13" s="1" t="s">
        <v>325</v>
      </c>
      <c r="W13" s="1" t="s">
        <v>326</v>
      </c>
      <c r="X13" s="1" t="s">
        <v>327</v>
      </c>
      <c r="Y13" s="1" t="s">
        <v>328</v>
      </c>
      <c r="Z13" s="1" t="s">
        <v>329</v>
      </c>
      <c r="AA13" s="1" t="s">
        <v>330</v>
      </c>
      <c r="AB13" s="1" t="s">
        <v>331</v>
      </c>
      <c r="AC13" s="1" t="s">
        <v>332</v>
      </c>
      <c r="AD13" s="1" t="s">
        <v>333</v>
      </c>
      <c r="AE13" s="1" t="s">
        <v>334</v>
      </c>
      <c r="AF13" s="1" t="s">
        <v>335</v>
      </c>
      <c r="AG13" s="1" t="s">
        <v>336</v>
      </c>
      <c r="AH13" s="1" t="s">
        <v>337</v>
      </c>
      <c r="AI13" s="1" t="s">
        <v>338</v>
      </c>
      <c r="AJ13" s="1" t="s">
        <v>339</v>
      </c>
      <c r="AK13" s="1" t="s">
        <v>340</v>
      </c>
      <c r="AL13" s="1" t="s">
        <v>341</v>
      </c>
      <c r="AM13" s="1" t="s">
        <v>342</v>
      </c>
      <c r="AN13" s="1" t="s">
        <v>343</v>
      </c>
      <c r="AO13" s="1" t="s">
        <v>344</v>
      </c>
      <c r="AP13" s="1" t="s">
        <v>345</v>
      </c>
      <c r="AQ13" s="1" t="s">
        <v>346</v>
      </c>
      <c r="AR13" s="1" t="s">
        <v>347</v>
      </c>
      <c r="AS13" s="1" t="s">
        <v>348</v>
      </c>
      <c r="AT13" s="1" t="s">
        <v>349</v>
      </c>
      <c r="AU13" s="1" t="s">
        <v>350</v>
      </c>
      <c r="AV13" s="1" t="s">
        <v>351</v>
      </c>
    </row>
    <row r="14" spans="1:48" ht="12.95" customHeight="1" x14ac:dyDescent="0.2">
      <c r="A14" s="4" t="s">
        <v>352</v>
      </c>
      <c r="B14" s="4" t="s">
        <v>353</v>
      </c>
      <c r="C14" s="3" t="s">
        <v>62</v>
      </c>
      <c r="D14" s="1" t="s">
        <v>354</v>
      </c>
      <c r="E14" s="1" t="s">
        <v>355</v>
      </c>
      <c r="F14" s="1" t="s">
        <v>63</v>
      </c>
      <c r="G14" s="1" t="s">
        <v>63</v>
      </c>
      <c r="H14" s="1" t="s">
        <v>63</v>
      </c>
      <c r="I14" s="1" t="s">
        <v>63</v>
      </c>
      <c r="J14" s="1" t="s">
        <v>63</v>
      </c>
      <c r="K14" s="1" t="s">
        <v>63</v>
      </c>
      <c r="L14" s="1" t="s">
        <v>63</v>
      </c>
      <c r="M14" s="1" t="s">
        <v>63</v>
      </c>
      <c r="N14" s="1" t="s">
        <v>63</v>
      </c>
      <c r="O14" s="1" t="s">
        <v>63</v>
      </c>
      <c r="P14" s="1" t="s">
        <v>63</v>
      </c>
      <c r="Q14" s="1" t="s">
        <v>63</v>
      </c>
      <c r="R14" s="1" t="s">
        <v>356</v>
      </c>
      <c r="S14" s="1" t="s">
        <v>63</v>
      </c>
      <c r="T14" s="1" t="s">
        <v>63</v>
      </c>
      <c r="U14" s="1" t="s">
        <v>63</v>
      </c>
      <c r="V14" s="1" t="s">
        <v>63</v>
      </c>
      <c r="W14" s="1" t="s">
        <v>63</v>
      </c>
      <c r="X14" s="1" t="s">
        <v>63</v>
      </c>
      <c r="Y14" s="1" t="s">
        <v>63</v>
      </c>
      <c r="Z14" s="1" t="s">
        <v>63</v>
      </c>
      <c r="AA14" s="1" t="s">
        <v>357</v>
      </c>
      <c r="AB14" s="1" t="s">
        <v>358</v>
      </c>
      <c r="AC14" s="1" t="s">
        <v>63</v>
      </c>
      <c r="AD14" s="1" t="s">
        <v>63</v>
      </c>
      <c r="AE14" s="1" t="s">
        <v>63</v>
      </c>
      <c r="AF14" s="1" t="s">
        <v>63</v>
      </c>
      <c r="AG14" s="1" t="s">
        <v>63</v>
      </c>
      <c r="AH14" s="1" t="s">
        <v>63</v>
      </c>
      <c r="AI14" s="1" t="s">
        <v>63</v>
      </c>
      <c r="AJ14" s="1" t="s">
        <v>63</v>
      </c>
      <c r="AK14" s="1" t="s">
        <v>359</v>
      </c>
      <c r="AL14" s="1" t="s">
        <v>360</v>
      </c>
      <c r="AM14" s="1" t="s">
        <v>361</v>
      </c>
      <c r="AN14" s="1" t="s">
        <v>170</v>
      </c>
      <c r="AO14" s="1" t="s">
        <v>63</v>
      </c>
      <c r="AP14" s="1" t="s">
        <v>63</v>
      </c>
      <c r="AQ14" s="1" t="s">
        <v>63</v>
      </c>
      <c r="AR14" s="1" t="s">
        <v>63</v>
      </c>
      <c r="AS14" s="1" t="s">
        <v>63</v>
      </c>
      <c r="AT14" s="1" t="s">
        <v>63</v>
      </c>
      <c r="AU14" s="1" t="s">
        <v>362</v>
      </c>
      <c r="AV14" s="1" t="s">
        <v>363</v>
      </c>
    </row>
    <row r="15" spans="1:48" ht="12.95" customHeight="1" x14ac:dyDescent="0.2">
      <c r="A15" s="4" t="s">
        <v>364</v>
      </c>
      <c r="B15" s="4" t="s">
        <v>365</v>
      </c>
      <c r="C15" s="3" t="s">
        <v>62</v>
      </c>
      <c r="D15" s="1" t="s">
        <v>63</v>
      </c>
      <c r="E15" s="1" t="s">
        <v>366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63</v>
      </c>
      <c r="L15" s="1" t="s">
        <v>63</v>
      </c>
      <c r="M15" s="1" t="s">
        <v>63</v>
      </c>
      <c r="N15" s="1" t="s">
        <v>63</v>
      </c>
      <c r="O15" s="1" t="s">
        <v>63</v>
      </c>
      <c r="P15" s="1" t="s">
        <v>63</v>
      </c>
      <c r="Q15" s="1" t="s">
        <v>63</v>
      </c>
      <c r="R15" s="1" t="s">
        <v>367</v>
      </c>
      <c r="S15" s="1" t="s">
        <v>63</v>
      </c>
      <c r="T15" s="1" t="s">
        <v>63</v>
      </c>
      <c r="U15" s="1" t="s">
        <v>63</v>
      </c>
      <c r="V15" s="1" t="s">
        <v>63</v>
      </c>
      <c r="W15" s="1" t="s">
        <v>63</v>
      </c>
      <c r="X15" s="1" t="s">
        <v>63</v>
      </c>
      <c r="Y15" s="1" t="s">
        <v>63</v>
      </c>
      <c r="Z15" s="1" t="s">
        <v>63</v>
      </c>
      <c r="AA15" s="1" t="s">
        <v>63</v>
      </c>
      <c r="AB15" s="1" t="s">
        <v>368</v>
      </c>
      <c r="AC15" s="1" t="s">
        <v>63</v>
      </c>
      <c r="AD15" s="1" t="s">
        <v>63</v>
      </c>
      <c r="AE15" s="1" t="s">
        <v>63</v>
      </c>
      <c r="AF15" s="1" t="s">
        <v>63</v>
      </c>
      <c r="AG15" s="1" t="s">
        <v>63</v>
      </c>
      <c r="AH15" s="1" t="s">
        <v>63</v>
      </c>
      <c r="AI15" s="1" t="s">
        <v>63</v>
      </c>
      <c r="AJ15" s="1" t="s">
        <v>63</v>
      </c>
      <c r="AK15" s="1" t="s">
        <v>63</v>
      </c>
      <c r="AL15" s="1" t="s">
        <v>63</v>
      </c>
      <c r="AM15" s="1" t="s">
        <v>63</v>
      </c>
      <c r="AN15" s="1" t="s">
        <v>369</v>
      </c>
      <c r="AO15" s="1" t="s">
        <v>63</v>
      </c>
      <c r="AP15" s="1" t="s">
        <v>63</v>
      </c>
      <c r="AQ15" s="1" t="s">
        <v>63</v>
      </c>
      <c r="AR15" s="1" t="s">
        <v>63</v>
      </c>
      <c r="AS15" s="1" t="s">
        <v>63</v>
      </c>
      <c r="AT15" s="1" t="s">
        <v>63</v>
      </c>
      <c r="AU15" s="1" t="s">
        <v>63</v>
      </c>
      <c r="AV15" s="1" t="s">
        <v>370</v>
      </c>
    </row>
    <row r="16" spans="1:48" ht="12.95" customHeight="1" x14ac:dyDescent="0.2">
      <c r="A16" s="4" t="s">
        <v>371</v>
      </c>
      <c r="B16" s="4" t="s">
        <v>372</v>
      </c>
      <c r="C16" s="3" t="s">
        <v>62</v>
      </c>
      <c r="D16" s="1" t="s">
        <v>373</v>
      </c>
      <c r="E16" s="1" t="s">
        <v>374</v>
      </c>
      <c r="F16" s="1" t="s">
        <v>375</v>
      </c>
      <c r="G16" s="1" t="s">
        <v>63</v>
      </c>
      <c r="H16" s="1" t="s">
        <v>63</v>
      </c>
      <c r="I16" s="1" t="s">
        <v>63</v>
      </c>
      <c r="J16" s="1" t="s">
        <v>63</v>
      </c>
      <c r="K16" s="1" t="s">
        <v>63</v>
      </c>
      <c r="L16" s="1" t="s">
        <v>63</v>
      </c>
      <c r="M16" s="1" t="s">
        <v>63</v>
      </c>
      <c r="N16" s="1" t="s">
        <v>63</v>
      </c>
      <c r="O16" s="1" t="s">
        <v>63</v>
      </c>
      <c r="P16" s="1" t="s">
        <v>63</v>
      </c>
      <c r="Q16" s="1" t="s">
        <v>63</v>
      </c>
      <c r="R16" s="1" t="s">
        <v>148</v>
      </c>
      <c r="S16" s="1" t="s">
        <v>63</v>
      </c>
      <c r="T16" s="1" t="s">
        <v>63</v>
      </c>
      <c r="U16" s="1" t="s">
        <v>63</v>
      </c>
      <c r="V16" s="1" t="s">
        <v>63</v>
      </c>
      <c r="W16" s="1" t="s">
        <v>63</v>
      </c>
      <c r="X16" s="1" t="s">
        <v>63</v>
      </c>
      <c r="Y16" s="1" t="s">
        <v>63</v>
      </c>
      <c r="Z16" s="1" t="s">
        <v>63</v>
      </c>
      <c r="AA16" s="1" t="s">
        <v>376</v>
      </c>
      <c r="AB16" s="1" t="s">
        <v>377</v>
      </c>
      <c r="AC16" s="1" t="s">
        <v>378</v>
      </c>
      <c r="AD16" s="1" t="s">
        <v>63</v>
      </c>
      <c r="AE16" s="1" t="s">
        <v>63</v>
      </c>
      <c r="AF16" s="1" t="s">
        <v>63</v>
      </c>
      <c r="AG16" s="1" t="s">
        <v>63</v>
      </c>
      <c r="AH16" s="1" t="s">
        <v>63</v>
      </c>
      <c r="AI16" s="1" t="s">
        <v>63</v>
      </c>
      <c r="AJ16" s="1" t="s">
        <v>63</v>
      </c>
      <c r="AK16" s="1" t="s">
        <v>63</v>
      </c>
      <c r="AL16" s="1" t="s">
        <v>379</v>
      </c>
      <c r="AM16" s="1" t="s">
        <v>380</v>
      </c>
      <c r="AN16" s="1" t="s">
        <v>274</v>
      </c>
      <c r="AO16" s="1" t="s">
        <v>381</v>
      </c>
      <c r="AP16" s="1" t="s">
        <v>63</v>
      </c>
      <c r="AQ16" s="1" t="s">
        <v>63</v>
      </c>
      <c r="AR16" s="1" t="s">
        <v>63</v>
      </c>
      <c r="AS16" s="1" t="s">
        <v>63</v>
      </c>
      <c r="AT16" s="1" t="s">
        <v>63</v>
      </c>
      <c r="AU16" s="1" t="s">
        <v>382</v>
      </c>
      <c r="AV16" s="1" t="s">
        <v>99</v>
      </c>
    </row>
    <row r="17" spans="1:48" ht="12.95" customHeight="1" x14ac:dyDescent="0.2">
      <c r="A17" s="4" t="s">
        <v>383</v>
      </c>
      <c r="B17" s="4" t="s">
        <v>384</v>
      </c>
      <c r="C17" s="3" t="s">
        <v>62</v>
      </c>
      <c r="D17" s="1" t="s">
        <v>63</v>
      </c>
      <c r="E17" s="1" t="s">
        <v>385</v>
      </c>
      <c r="F17" s="1" t="s">
        <v>63</v>
      </c>
      <c r="G17" s="1" t="s">
        <v>386</v>
      </c>
      <c r="H17" s="1" t="s">
        <v>387</v>
      </c>
      <c r="I17" s="1" t="s">
        <v>388</v>
      </c>
      <c r="J17" s="1" t="s">
        <v>389</v>
      </c>
      <c r="K17" s="1" t="s">
        <v>390</v>
      </c>
      <c r="L17" s="1" t="s">
        <v>391</v>
      </c>
      <c r="M17" s="1" t="s">
        <v>392</v>
      </c>
      <c r="N17" s="1" t="s">
        <v>393</v>
      </c>
      <c r="O17" s="1" t="s">
        <v>394</v>
      </c>
      <c r="P17" s="1" t="s">
        <v>395</v>
      </c>
      <c r="Q17" s="1" t="s">
        <v>396</v>
      </c>
      <c r="R17" s="1" t="s">
        <v>397</v>
      </c>
      <c r="S17" s="1" t="s">
        <v>398</v>
      </c>
      <c r="T17" s="1" t="s">
        <v>399</v>
      </c>
      <c r="U17" s="1" t="s">
        <v>400</v>
      </c>
      <c r="V17" s="1" t="s">
        <v>401</v>
      </c>
      <c r="W17" s="1" t="s">
        <v>402</v>
      </c>
      <c r="X17" s="1" t="s">
        <v>403</v>
      </c>
      <c r="Y17" s="1" t="s">
        <v>404</v>
      </c>
      <c r="Z17" s="1" t="s">
        <v>405</v>
      </c>
      <c r="AA17" s="1" t="s">
        <v>63</v>
      </c>
      <c r="AB17" s="1" t="s">
        <v>406</v>
      </c>
      <c r="AC17" s="1" t="s">
        <v>63</v>
      </c>
      <c r="AD17" s="1" t="s">
        <v>407</v>
      </c>
      <c r="AE17" s="1" t="s">
        <v>408</v>
      </c>
      <c r="AF17" s="1" t="s">
        <v>409</v>
      </c>
      <c r="AG17" s="1" t="s">
        <v>410</v>
      </c>
      <c r="AH17" s="1" t="s">
        <v>63</v>
      </c>
      <c r="AI17" s="1" t="s">
        <v>63</v>
      </c>
      <c r="AJ17" s="1" t="s">
        <v>63</v>
      </c>
      <c r="AK17" s="1" t="s">
        <v>379</v>
      </c>
      <c r="AL17" s="1" t="s">
        <v>411</v>
      </c>
      <c r="AM17" s="1" t="s">
        <v>63</v>
      </c>
      <c r="AN17" s="1" t="s">
        <v>412</v>
      </c>
      <c r="AO17" s="1" t="s">
        <v>63</v>
      </c>
      <c r="AP17" s="1" t="s">
        <v>413</v>
      </c>
      <c r="AQ17" s="1" t="s">
        <v>414</v>
      </c>
      <c r="AR17" s="1" t="s">
        <v>415</v>
      </c>
      <c r="AS17" s="1" t="s">
        <v>416</v>
      </c>
      <c r="AT17" s="1" t="s">
        <v>417</v>
      </c>
      <c r="AU17" s="1" t="s">
        <v>63</v>
      </c>
      <c r="AV17" s="1" t="s">
        <v>331</v>
      </c>
    </row>
    <row r="18" spans="1:48" ht="12.95" customHeight="1" x14ac:dyDescent="0.2">
      <c r="A18" s="4" t="s">
        <v>418</v>
      </c>
      <c r="B18" s="4" t="s">
        <v>419</v>
      </c>
      <c r="C18" s="3" t="s">
        <v>62</v>
      </c>
      <c r="D18" s="1" t="s">
        <v>63</v>
      </c>
      <c r="E18" s="1" t="s">
        <v>420</v>
      </c>
      <c r="F18" s="1" t="s">
        <v>63</v>
      </c>
      <c r="G18" s="1" t="s">
        <v>63</v>
      </c>
      <c r="H18" s="1" t="s">
        <v>63</v>
      </c>
      <c r="I18" s="1" t="s">
        <v>63</v>
      </c>
      <c r="J18" s="1" t="s">
        <v>63</v>
      </c>
      <c r="K18" s="1" t="s">
        <v>63</v>
      </c>
      <c r="L18" s="1" t="s">
        <v>63</v>
      </c>
      <c r="M18" s="1" t="s">
        <v>63</v>
      </c>
      <c r="N18" s="1" t="s">
        <v>63</v>
      </c>
      <c r="O18" s="1" t="s">
        <v>63</v>
      </c>
      <c r="P18" s="1" t="s">
        <v>63</v>
      </c>
      <c r="Q18" s="1" t="s">
        <v>63</v>
      </c>
      <c r="R18" s="1" t="s">
        <v>421</v>
      </c>
      <c r="S18" s="1" t="s">
        <v>63</v>
      </c>
      <c r="T18" s="1" t="s">
        <v>63</v>
      </c>
      <c r="U18" s="1" t="s">
        <v>63</v>
      </c>
      <c r="V18" s="1" t="s">
        <v>63</v>
      </c>
      <c r="W18" s="1" t="s">
        <v>63</v>
      </c>
      <c r="X18" s="1" t="s">
        <v>63</v>
      </c>
      <c r="Y18" s="1" t="s">
        <v>63</v>
      </c>
      <c r="Z18" s="1" t="s">
        <v>63</v>
      </c>
      <c r="AA18" s="1" t="s">
        <v>63</v>
      </c>
      <c r="AB18" s="1" t="s">
        <v>295</v>
      </c>
      <c r="AC18" s="1" t="s">
        <v>63</v>
      </c>
      <c r="AD18" s="1" t="s">
        <v>63</v>
      </c>
      <c r="AE18" s="1" t="s">
        <v>63</v>
      </c>
      <c r="AF18" s="1" t="s">
        <v>63</v>
      </c>
      <c r="AG18" s="1" t="s">
        <v>63</v>
      </c>
      <c r="AH18" s="1" t="s">
        <v>63</v>
      </c>
      <c r="AI18" s="1" t="s">
        <v>63</v>
      </c>
      <c r="AJ18" s="1" t="s">
        <v>63</v>
      </c>
      <c r="AK18" s="1" t="s">
        <v>63</v>
      </c>
      <c r="AL18" s="1" t="s">
        <v>63</v>
      </c>
      <c r="AM18" s="1" t="s">
        <v>63</v>
      </c>
      <c r="AN18" s="1" t="s">
        <v>422</v>
      </c>
      <c r="AO18" s="1" t="s">
        <v>63</v>
      </c>
      <c r="AP18" s="1" t="s">
        <v>63</v>
      </c>
      <c r="AQ18" s="1" t="s">
        <v>63</v>
      </c>
      <c r="AR18" s="1" t="s">
        <v>63</v>
      </c>
      <c r="AS18" s="1" t="s">
        <v>63</v>
      </c>
      <c r="AT18" s="1" t="s">
        <v>63</v>
      </c>
      <c r="AU18" s="1" t="s">
        <v>63</v>
      </c>
      <c r="AV18" s="1" t="s">
        <v>423</v>
      </c>
    </row>
    <row r="19" spans="1:48" ht="12.95" customHeight="1" x14ac:dyDescent="0.2">
      <c r="A19" s="4" t="s">
        <v>424</v>
      </c>
      <c r="B19" s="4" t="s">
        <v>425</v>
      </c>
      <c r="C19" s="3" t="s">
        <v>62</v>
      </c>
      <c r="D19" s="1" t="s">
        <v>63</v>
      </c>
      <c r="E19" s="1" t="s">
        <v>426</v>
      </c>
      <c r="F19" s="1" t="s">
        <v>63</v>
      </c>
      <c r="G19" s="1" t="s">
        <v>63</v>
      </c>
      <c r="H19" s="1" t="s">
        <v>63</v>
      </c>
      <c r="I19" s="1" t="s">
        <v>63</v>
      </c>
      <c r="J19" s="1" t="s">
        <v>63</v>
      </c>
      <c r="K19" s="1" t="s">
        <v>63</v>
      </c>
      <c r="L19" s="1" t="s">
        <v>63</v>
      </c>
      <c r="M19" s="1" t="s">
        <v>63</v>
      </c>
      <c r="N19" s="1" t="s">
        <v>63</v>
      </c>
      <c r="O19" s="1" t="s">
        <v>63</v>
      </c>
      <c r="P19" s="1" t="s">
        <v>63</v>
      </c>
      <c r="Q19" s="1" t="s">
        <v>63</v>
      </c>
      <c r="R19" s="1" t="s">
        <v>427</v>
      </c>
      <c r="S19" s="1" t="s">
        <v>63</v>
      </c>
      <c r="T19" s="1" t="s">
        <v>63</v>
      </c>
      <c r="U19" s="1" t="s">
        <v>63</v>
      </c>
      <c r="V19" s="1" t="s">
        <v>63</v>
      </c>
      <c r="W19" s="1" t="s">
        <v>63</v>
      </c>
      <c r="X19" s="1" t="s">
        <v>63</v>
      </c>
      <c r="Y19" s="1" t="s">
        <v>63</v>
      </c>
      <c r="Z19" s="1" t="s">
        <v>63</v>
      </c>
      <c r="AA19" s="1" t="s">
        <v>63</v>
      </c>
      <c r="AB19" s="1" t="s">
        <v>428</v>
      </c>
      <c r="AC19" s="1" t="s">
        <v>63</v>
      </c>
      <c r="AD19" s="1" t="s">
        <v>63</v>
      </c>
      <c r="AE19" s="1" t="s">
        <v>63</v>
      </c>
      <c r="AF19" s="1" t="s">
        <v>63</v>
      </c>
      <c r="AG19" s="1" t="s">
        <v>63</v>
      </c>
      <c r="AH19" s="1" t="s">
        <v>63</v>
      </c>
      <c r="AI19" s="1" t="s">
        <v>63</v>
      </c>
      <c r="AJ19" s="1" t="s">
        <v>63</v>
      </c>
      <c r="AK19" s="1" t="s">
        <v>63</v>
      </c>
      <c r="AL19" s="1" t="s">
        <v>63</v>
      </c>
      <c r="AM19" s="1" t="s">
        <v>63</v>
      </c>
      <c r="AN19" s="1" t="s">
        <v>429</v>
      </c>
      <c r="AO19" s="1" t="s">
        <v>63</v>
      </c>
      <c r="AP19" s="1" t="s">
        <v>63</v>
      </c>
      <c r="AQ19" s="1" t="s">
        <v>63</v>
      </c>
      <c r="AR19" s="1" t="s">
        <v>63</v>
      </c>
      <c r="AS19" s="1" t="s">
        <v>63</v>
      </c>
      <c r="AT19" s="1" t="s">
        <v>63</v>
      </c>
      <c r="AU19" s="1" t="s">
        <v>63</v>
      </c>
      <c r="AV19" s="1" t="s">
        <v>226</v>
      </c>
    </row>
    <row r="20" spans="1:48" ht="12.95" customHeight="1" x14ac:dyDescent="0.2">
      <c r="A20" s="4" t="s">
        <v>430</v>
      </c>
      <c r="B20" s="4" t="s">
        <v>431</v>
      </c>
      <c r="C20" s="3" t="s">
        <v>62</v>
      </c>
      <c r="D20" s="1" t="s">
        <v>63</v>
      </c>
      <c r="E20" s="1" t="s">
        <v>432</v>
      </c>
      <c r="F20" s="1" t="s">
        <v>63</v>
      </c>
      <c r="G20" s="1" t="s">
        <v>63</v>
      </c>
      <c r="H20" s="1" t="s">
        <v>63</v>
      </c>
      <c r="I20" s="1" t="s">
        <v>63</v>
      </c>
      <c r="J20" s="1" t="s">
        <v>63</v>
      </c>
      <c r="K20" s="1" t="s">
        <v>63</v>
      </c>
      <c r="L20" s="1" t="s">
        <v>63</v>
      </c>
      <c r="M20" s="1" t="s">
        <v>63</v>
      </c>
      <c r="N20" s="1" t="s">
        <v>63</v>
      </c>
      <c r="O20" s="1" t="s">
        <v>63</v>
      </c>
      <c r="P20" s="1" t="s">
        <v>63</v>
      </c>
      <c r="Q20" s="1" t="s">
        <v>63</v>
      </c>
      <c r="R20" s="1" t="s">
        <v>433</v>
      </c>
      <c r="S20" s="1" t="s">
        <v>63</v>
      </c>
      <c r="T20" s="1" t="s">
        <v>63</v>
      </c>
      <c r="U20" s="1" t="s">
        <v>63</v>
      </c>
      <c r="V20" s="1" t="s">
        <v>63</v>
      </c>
      <c r="W20" s="1" t="s">
        <v>63</v>
      </c>
      <c r="X20" s="1" t="s">
        <v>63</v>
      </c>
      <c r="Y20" s="1" t="s">
        <v>63</v>
      </c>
      <c r="Z20" s="1" t="s">
        <v>63</v>
      </c>
      <c r="AA20" s="1" t="s">
        <v>63</v>
      </c>
      <c r="AB20" s="1" t="s">
        <v>434</v>
      </c>
      <c r="AC20" s="1" t="s">
        <v>435</v>
      </c>
      <c r="AD20" s="1" t="s">
        <v>436</v>
      </c>
      <c r="AE20" s="1" t="s">
        <v>437</v>
      </c>
      <c r="AF20" s="1" t="s">
        <v>438</v>
      </c>
      <c r="AG20" s="1" t="s">
        <v>439</v>
      </c>
      <c r="AH20" s="1" t="s">
        <v>63</v>
      </c>
      <c r="AI20" s="1" t="s">
        <v>63</v>
      </c>
      <c r="AJ20" s="1" t="s">
        <v>63</v>
      </c>
      <c r="AK20" s="1" t="s">
        <v>63</v>
      </c>
      <c r="AL20" s="1" t="s">
        <v>440</v>
      </c>
      <c r="AM20" s="1" t="s">
        <v>63</v>
      </c>
      <c r="AN20" s="1" t="s">
        <v>441</v>
      </c>
      <c r="AO20" s="1" t="s">
        <v>63</v>
      </c>
      <c r="AP20" s="1" t="s">
        <v>63</v>
      </c>
      <c r="AQ20" s="1" t="s">
        <v>63</v>
      </c>
      <c r="AR20" s="1" t="s">
        <v>63</v>
      </c>
      <c r="AS20" s="1" t="s">
        <v>63</v>
      </c>
      <c r="AT20" s="1" t="s">
        <v>63</v>
      </c>
      <c r="AU20" s="1" t="s">
        <v>63</v>
      </c>
      <c r="AV20" s="1" t="s">
        <v>442</v>
      </c>
    </row>
    <row r="21" spans="1:48" ht="12.95" customHeight="1" x14ac:dyDescent="0.2">
      <c r="A21" s="4" t="s">
        <v>64</v>
      </c>
      <c r="B21" s="4" t="s">
        <v>65</v>
      </c>
      <c r="C21" s="3" t="s">
        <v>62</v>
      </c>
      <c r="D21" s="1" t="s">
        <v>66</v>
      </c>
      <c r="E21" s="1" t="s">
        <v>67</v>
      </c>
      <c r="F21" s="1" t="s">
        <v>63</v>
      </c>
      <c r="G21" s="1" t="s">
        <v>63</v>
      </c>
      <c r="H21" s="1" t="s">
        <v>63</v>
      </c>
      <c r="I21" s="1" t="s">
        <v>68</v>
      </c>
      <c r="J21" s="1" t="s">
        <v>63</v>
      </c>
      <c r="K21" s="1" t="s">
        <v>63</v>
      </c>
      <c r="L21" s="1" t="s">
        <v>69</v>
      </c>
      <c r="M21" s="1" t="s">
        <v>63</v>
      </c>
      <c r="N21" s="1" t="s">
        <v>70</v>
      </c>
      <c r="O21" s="1" t="s">
        <v>63</v>
      </c>
      <c r="P21" s="1" t="s">
        <v>63</v>
      </c>
      <c r="Q21" s="1" t="s">
        <v>63</v>
      </c>
      <c r="R21" s="1" t="s">
        <v>71</v>
      </c>
      <c r="S21" s="1" t="s">
        <v>63</v>
      </c>
      <c r="T21" s="1" t="s">
        <v>63</v>
      </c>
      <c r="U21" s="1" t="s">
        <v>63</v>
      </c>
      <c r="V21" s="1" t="s">
        <v>63</v>
      </c>
      <c r="W21" s="1" t="s">
        <v>63</v>
      </c>
      <c r="X21" s="1" t="s">
        <v>63</v>
      </c>
      <c r="Y21" s="1" t="s">
        <v>63</v>
      </c>
      <c r="Z21" s="1" t="s">
        <v>63</v>
      </c>
      <c r="AA21" s="1" t="s">
        <v>72</v>
      </c>
      <c r="AB21" s="1" t="s">
        <v>73</v>
      </c>
      <c r="AC21" s="1" t="s">
        <v>63</v>
      </c>
      <c r="AD21" s="1" t="s">
        <v>63</v>
      </c>
      <c r="AE21" s="1" t="s">
        <v>63</v>
      </c>
      <c r="AF21" s="1" t="s">
        <v>63</v>
      </c>
      <c r="AG21" s="1" t="s">
        <v>63</v>
      </c>
      <c r="AH21" s="1" t="s">
        <v>63</v>
      </c>
      <c r="AI21" s="1" t="s">
        <v>63</v>
      </c>
      <c r="AJ21" s="1" t="s">
        <v>63</v>
      </c>
      <c r="AK21" s="1" t="s">
        <v>74</v>
      </c>
      <c r="AL21" s="1" t="s">
        <v>63</v>
      </c>
      <c r="AM21" s="1" t="s">
        <v>75</v>
      </c>
      <c r="AN21" s="1" t="s">
        <v>76</v>
      </c>
      <c r="AO21" s="1" t="s">
        <v>63</v>
      </c>
      <c r="AP21" s="1" t="s">
        <v>63</v>
      </c>
      <c r="AQ21" s="1" t="s">
        <v>63</v>
      </c>
      <c r="AR21" s="1" t="s">
        <v>63</v>
      </c>
      <c r="AS21" s="1" t="s">
        <v>63</v>
      </c>
      <c r="AT21" s="1" t="s">
        <v>63</v>
      </c>
      <c r="AU21" s="1" t="s">
        <v>77</v>
      </c>
      <c r="AV21" s="1" t="s">
        <v>78</v>
      </c>
    </row>
    <row r="24" spans="1:48" x14ac:dyDescent="0.2">
      <c r="A24">
        <f>$A$1</f>
        <v>0</v>
      </c>
      <c r="B24">
        <f>$B$1</f>
        <v>0</v>
      </c>
      <c r="C24">
        <f>$C$1</f>
        <v>0</v>
      </c>
      <c r="D24" t="str">
        <f>$D$1</f>
        <v>High CCV Inj.
1</v>
      </c>
      <c r="E24" t="str">
        <f>$E$1</f>
        <v>Low CCV Inj.
1</v>
      </c>
      <c r="F24" t="str">
        <f>$F$1</f>
        <v>BS-CIPs-8594
Inj. 1</v>
      </c>
      <c r="G24" t="str">
        <f>$G$1</f>
        <v>Dup-15042
Inj. 1</v>
      </c>
      <c r="H24" t="str">
        <f>$H$1</f>
        <v>15042 Inj. 1</v>
      </c>
      <c r="I24" t="str">
        <f>$I$1</f>
        <v>15042-1 Inj. 1</v>
      </c>
      <c r="J24" t="str">
        <f>$J$1</f>
        <v>15042-2 Inj. 1</v>
      </c>
      <c r="K24" t="str">
        <f>$K$1</f>
        <v>15043 Inj. 1</v>
      </c>
      <c r="L24" t="str">
        <f>$L$1</f>
        <v>15043-1 Inj. 1</v>
      </c>
      <c r="M24" t="str">
        <f>$M$1</f>
        <v>15043-2 Inj. 1</v>
      </c>
      <c r="N24" t="str">
        <f>$N$1</f>
        <v>15044 Inj. 1</v>
      </c>
      <c r="O24" t="str">
        <f>$O$1</f>
        <v>15044-1 Inj. 1</v>
      </c>
      <c r="P24" t="str">
        <f>$P$1</f>
        <v>15044-2 Inj. 1</v>
      </c>
      <c r="Q24" t="str">
        <f>$Q$1</f>
        <v>15045 Inj. 1</v>
      </c>
      <c r="R24" t="str">
        <f>$R$1</f>
        <v>Low CCV Inj.
1</v>
      </c>
      <c r="S24" t="str">
        <f>$S$1</f>
        <v>15045-1 Inj. 1</v>
      </c>
      <c r="T24" t="str">
        <f>$T$1</f>
        <v>15045-2 Inj. 1</v>
      </c>
      <c r="U24" t="str">
        <f>$U$1</f>
        <v>15046 Inj. 1</v>
      </c>
      <c r="V24" t="str">
        <f>$V$1</f>
        <v>15046-1 Inj. 1</v>
      </c>
      <c r="W24" t="str">
        <f>$W$1</f>
        <v>15046-2 Inj. 1</v>
      </c>
      <c r="X24" t="str">
        <f>$X$1</f>
        <v>15047 Inj. 1</v>
      </c>
      <c r="Y24" t="str">
        <f>$Y$1</f>
        <v>15047-1 Inj. 1</v>
      </c>
      <c r="Z24" t="str">
        <f>$Z$1</f>
        <v>15047-2 Inj. 1</v>
      </c>
      <c r="AA24" t="str">
        <f>$AA$1</f>
        <v>High CCV Inj.
1</v>
      </c>
      <c r="AB24" t="str">
        <f>$AB$1</f>
        <v>Low CCV Inj.
1</v>
      </c>
      <c r="AC24" t="str">
        <f>$AC$1</f>
        <v>BS-LDB-8600
Inj. 1</v>
      </c>
      <c r="AD24" t="str">
        <f>$AD$1</f>
        <v>Dup-15049
Inj. 1</v>
      </c>
      <c r="AE24" t="str">
        <f>$AE$1</f>
        <v>15049 Inj. 1</v>
      </c>
      <c r="AF24" t="str">
        <f>$AF$1</f>
        <v>15049-1 Inj. 1</v>
      </c>
      <c r="AG24" t="str">
        <f>$AG$1</f>
        <v>15049-2 Inj. 1</v>
      </c>
      <c r="AH24" t="str">
        <f>$AH$1</f>
        <v>15050 Inj. 1</v>
      </c>
      <c r="AI24" t="str">
        <f>$AI$1</f>
        <v>15050-1 Inj. 1</v>
      </c>
      <c r="AJ24" t="str">
        <f>$AJ$1</f>
        <v>15050-2 Inj. 1</v>
      </c>
      <c r="AK24" t="str">
        <f>$AK$1</f>
        <v>15085 Inj. 1</v>
      </c>
      <c r="AL24" t="str">
        <f>$AL$1</f>
        <v>15086 Inj. 1</v>
      </c>
      <c r="AM24" t="str">
        <f>$AM$1</f>
        <v>High CCV Inj.
1</v>
      </c>
      <c r="AN24" t="str">
        <f>$AN$1</f>
        <v>Low CCV Inj.
1</v>
      </c>
      <c r="AO24" t="str">
        <f>$AO$1</f>
        <v>BS-CIPs-8596
Inj. 1</v>
      </c>
      <c r="AP24" t="str">
        <f>$AP$1</f>
        <v>Dup-15061
Inj. 1</v>
      </c>
      <c r="AQ24" t="str">
        <f>$AQ$1</f>
        <v>15061 Inj. 1</v>
      </c>
      <c r="AR24" t="str">
        <f>$AR$1</f>
        <v>15061-1 Inj. 1</v>
      </c>
      <c r="AS24" t="str">
        <f>$AS$1</f>
        <v>15061-2 Inj. 1</v>
      </c>
      <c r="AT24" t="str">
        <f>$AT$1</f>
        <v>15063 Inj. 1</v>
      </c>
      <c r="AU24" t="str">
        <f>$AU$1</f>
        <v>High CCV Inj.
1</v>
      </c>
      <c r="AV24" t="str">
        <f>$AV$1</f>
        <v>Low CCV Inj.
1</v>
      </c>
    </row>
    <row r="25" spans="1:48" x14ac:dyDescent="0.2">
      <c r="A25" t="str">
        <f>$A$2</f>
        <v>2.11</v>
      </c>
      <c r="B25" t="str">
        <f>$B$2</f>
        <v>CBDVA</v>
      </c>
      <c r="C25" t="str">
        <f>$C$2</f>
        <v>Compou
nd
Amount</v>
      </c>
      <c r="D25" s="5">
        <f>IF(ISNUMBER(SEARCH("High",D1)), $D$2/0.1, IF(ISNUMBER(SEARCH("Low",D1)), $D$2/0.025, "No"))</f>
        <v>0</v>
      </c>
      <c r="E25" s="5">
        <f>IF(ISNUMBER(SEARCH("High",E1)), $E$2/0.1, IF(ISNUMBER(SEARCH("Low",E1)), $E$2/0.025, "No"))</f>
        <v>1.1619999999999999</v>
      </c>
      <c r="F25" s="5" t="str">
        <f>IF(ISNUMBER(SEARCH("High",F1)), $F$2/0.1, IF(ISNUMBER(SEARCH("Low",F1)), $F$2/0.025, "No"))</f>
        <v>No</v>
      </c>
      <c r="G25" s="5" t="str">
        <f>IF(ISNUMBER(SEARCH("High",G1)), $G$2/0.1, IF(ISNUMBER(SEARCH("Low",G1)), $G$2/0.025, "No"))</f>
        <v>No</v>
      </c>
      <c r="H25" s="5" t="str">
        <f>IF(ISNUMBER(SEARCH("High",H1)), $H$2/0.1, IF(ISNUMBER(SEARCH("Low",H1)), $H$2/0.025, "No"))</f>
        <v>No</v>
      </c>
      <c r="I25" s="5" t="str">
        <f>IF(ISNUMBER(SEARCH("High",I1)), $I$2/0.1, IF(ISNUMBER(SEARCH("Low",I1)), $I$2/0.025, "No"))</f>
        <v>No</v>
      </c>
      <c r="J25" s="5" t="str">
        <f>IF(ISNUMBER(SEARCH("High",J1)), $J$2/0.1, IF(ISNUMBER(SEARCH("Low",J1)), $J$2/0.025, "No"))</f>
        <v>No</v>
      </c>
      <c r="K25" s="5" t="str">
        <f>IF(ISNUMBER(SEARCH("High",K1)), $K$2/0.1, IF(ISNUMBER(SEARCH("Low",K1)), $K$2/0.025, "No"))</f>
        <v>No</v>
      </c>
      <c r="L25" s="5" t="str">
        <f>IF(ISNUMBER(SEARCH("High",L1)), $L$2/0.1, IF(ISNUMBER(SEARCH("Low",L1)), $L$2/0.025, "No"))</f>
        <v>No</v>
      </c>
      <c r="M25" s="5" t="str">
        <f>IF(ISNUMBER(SEARCH("High",M1)), $M$2/0.1, IF(ISNUMBER(SEARCH("Low",M1)), $M$2/0.025, "No"))</f>
        <v>No</v>
      </c>
      <c r="N25" s="5" t="str">
        <f>IF(ISNUMBER(SEARCH("High",N1)), $N$2/0.1, IF(ISNUMBER(SEARCH("Low",N1)), $N$2/0.025, "No"))</f>
        <v>No</v>
      </c>
      <c r="O25" s="5" t="str">
        <f>IF(ISNUMBER(SEARCH("High",O1)), $O$2/0.1, IF(ISNUMBER(SEARCH("Low",O1)), $O$2/0.025, "No"))</f>
        <v>No</v>
      </c>
      <c r="P25" s="5" t="str">
        <f>IF(ISNUMBER(SEARCH("High",P1)), $P$2/0.1, IF(ISNUMBER(SEARCH("Low",P1)), $P$2/0.025, "No"))</f>
        <v>No</v>
      </c>
      <c r="Q25" s="5" t="str">
        <f>IF(ISNUMBER(SEARCH("High",Q1)), $Q$2/0.1, IF(ISNUMBER(SEARCH("Low",Q1)), $Q$2/0.025, "No"))</f>
        <v>No</v>
      </c>
      <c r="R25" s="5">
        <f>IF(ISNUMBER(SEARCH("High",R1)), $R$2/0.1, IF(ISNUMBER(SEARCH("Low",R1)), $R$2/0.025, "No"))</f>
        <v>1.1372</v>
      </c>
      <c r="S25" s="5" t="str">
        <f>IF(ISNUMBER(SEARCH("High",S1)), $S$2/0.1, IF(ISNUMBER(SEARCH("Low",S1)), $S$2/0.025, "No"))</f>
        <v>No</v>
      </c>
      <c r="T25" s="5" t="str">
        <f>IF(ISNUMBER(SEARCH("High",T1)), $T$2/0.1, IF(ISNUMBER(SEARCH("Low",T1)), $T$2/0.025, "No"))</f>
        <v>No</v>
      </c>
      <c r="U25" s="5" t="str">
        <f>IF(ISNUMBER(SEARCH("High",U1)), $U$2/0.1, IF(ISNUMBER(SEARCH("Low",U1)), $U$2/0.025, "No"))</f>
        <v>No</v>
      </c>
      <c r="V25" s="5" t="str">
        <f>IF(ISNUMBER(SEARCH("High",V1)), $V$2/0.1, IF(ISNUMBER(SEARCH("Low",V1)), $V$2/0.025, "No"))</f>
        <v>No</v>
      </c>
      <c r="W25" s="5" t="str">
        <f>IF(ISNUMBER(SEARCH("High",W1)), $W$2/0.1, IF(ISNUMBER(SEARCH("Low",W1)), $W$2/0.025, "No"))</f>
        <v>No</v>
      </c>
      <c r="X25" s="5" t="str">
        <f>IF(ISNUMBER(SEARCH("High",X1)), $X$2/0.1, IF(ISNUMBER(SEARCH("Low",X1)), $X$2/0.025, "No"))</f>
        <v>No</v>
      </c>
      <c r="Y25" s="5" t="str">
        <f>IF(ISNUMBER(SEARCH("High",Y1)), $Y$2/0.1, IF(ISNUMBER(SEARCH("Low",Y1)), $Y$2/0.025, "No"))</f>
        <v>No</v>
      </c>
      <c r="Z25" s="5" t="str">
        <f>IF(ISNUMBER(SEARCH("High",Z1)), $Z$2/0.1, IF(ISNUMBER(SEARCH("Low",Z1)), $Z$2/0.025, "No"))</f>
        <v>No</v>
      </c>
      <c r="AA25" s="5">
        <f>IF(ISNUMBER(SEARCH("High",AA1)), $AA$2/0.1, IF(ISNUMBER(SEARCH("Low",AA1)), $AA$2/0.025, "No"))</f>
        <v>0</v>
      </c>
      <c r="AB25" s="5">
        <f>IF(ISNUMBER(SEARCH("High",AB1)), $AB$2/0.1, IF(ISNUMBER(SEARCH("Low",AB1)), $AB$2/0.025, "No"))</f>
        <v>1.1175999999999999</v>
      </c>
      <c r="AC25" s="5" t="str">
        <f>IF(ISNUMBER(SEARCH("High",AC1)), $AC$2/0.1, IF(ISNUMBER(SEARCH("Low",AC1)), $AC$2/0.025, "No"))</f>
        <v>No</v>
      </c>
      <c r="AD25" s="5" t="str">
        <f>IF(ISNUMBER(SEARCH("High",AD1)), $AD$2/0.1, IF(ISNUMBER(SEARCH("Low",AD1)), $AD$2/0.025, "No"))</f>
        <v>No</v>
      </c>
      <c r="AE25" s="5" t="str">
        <f>IF(ISNUMBER(SEARCH("High",AE1)), $AE$2/0.1, IF(ISNUMBER(SEARCH("Low",AE1)), $AE$2/0.025, "No"))</f>
        <v>No</v>
      </c>
      <c r="AF25" s="5" t="str">
        <f>IF(ISNUMBER(SEARCH("High",AF1)), $AF$2/0.1, IF(ISNUMBER(SEARCH("Low",AF1)), $AF$2/0.025, "No"))</f>
        <v>No</v>
      </c>
      <c r="AG25" s="5" t="str">
        <f>IF(ISNUMBER(SEARCH("High",AG1)), $AG$2/0.1, IF(ISNUMBER(SEARCH("Low",AG1)), $AG$2/0.025, "No"))</f>
        <v>No</v>
      </c>
      <c r="AH25" s="5" t="str">
        <f>IF(ISNUMBER(SEARCH("High",AH1)), $AH$2/0.1, IF(ISNUMBER(SEARCH("Low",AH1)), $AH$2/0.025, "No"))</f>
        <v>No</v>
      </c>
      <c r="AI25" s="5" t="str">
        <f>IF(ISNUMBER(SEARCH("High",AI1)), $AI$2/0.1, IF(ISNUMBER(SEARCH("Low",AI1)), $AI$2/0.025, "No"))</f>
        <v>No</v>
      </c>
      <c r="AJ25" s="5" t="str">
        <f>IF(ISNUMBER(SEARCH("High",AJ1)), $AJ$2/0.1, IF(ISNUMBER(SEARCH("Low",AJ1)), $AJ$2/0.025, "No"))</f>
        <v>No</v>
      </c>
      <c r="AK25" s="5" t="str">
        <f>IF(ISNUMBER(SEARCH("High",AK1)), $AK$2/0.1, IF(ISNUMBER(SEARCH("Low",AK1)), $AK$2/0.025, "No"))</f>
        <v>No</v>
      </c>
      <c r="AL25" s="5" t="str">
        <f>IF(ISNUMBER(SEARCH("High",AL1)), $AL$2/0.1, IF(ISNUMBER(SEARCH("Low",AL1)), $AL$2/0.025, "No"))</f>
        <v>No</v>
      </c>
      <c r="AM25" s="5">
        <f>IF(ISNUMBER(SEARCH("High",AM1)), $AM$2/0.1, IF(ISNUMBER(SEARCH("Low",AM1)), $AM$2/0.025, "No"))</f>
        <v>0</v>
      </c>
      <c r="AN25" s="5">
        <f>IF(ISNUMBER(SEARCH("High",AN1)), $AN$2/0.1, IF(ISNUMBER(SEARCH("Low",AN1)), $AN$2/0.025, "No"))</f>
        <v>1.1115999999999999</v>
      </c>
      <c r="AO25" s="5" t="str">
        <f>IF(ISNUMBER(SEARCH("High",AO1)), $AO$2/0.1, IF(ISNUMBER(SEARCH("Low",AO1)), $AO$2/0.025, "No"))</f>
        <v>No</v>
      </c>
      <c r="AP25" s="5" t="str">
        <f>IF(ISNUMBER(SEARCH("High",AP1)), $AP$2/0.1, IF(ISNUMBER(SEARCH("Low",AP1)), $AP$2/0.025, "No"))</f>
        <v>No</v>
      </c>
      <c r="AQ25" s="5" t="str">
        <f>IF(ISNUMBER(SEARCH("High",AQ1)), $AQ$2/0.1, IF(ISNUMBER(SEARCH("Low",AQ1)), $AQ$2/0.025, "No"))</f>
        <v>No</v>
      </c>
      <c r="AR25" s="5" t="str">
        <f>IF(ISNUMBER(SEARCH("High",AR1)), $AR$2/0.1, IF(ISNUMBER(SEARCH("Low",AR1)), $AR$2/0.025, "No"))</f>
        <v>No</v>
      </c>
      <c r="AS25" s="5" t="str">
        <f>IF(ISNUMBER(SEARCH("High",AS1)), $AS$2/0.1, IF(ISNUMBER(SEARCH("Low",AS1)), $AS$2/0.025, "No"))</f>
        <v>No</v>
      </c>
      <c r="AT25" s="5" t="str">
        <f>IF(ISNUMBER(SEARCH("High",AT1)), $AT$2/0.1, IF(ISNUMBER(SEARCH("Low",AT1)), $AT$2/0.025, "No"))</f>
        <v>No</v>
      </c>
      <c r="AU25" s="5">
        <f>IF(ISNUMBER(SEARCH("High",AU1)), $AU$2/0.1, IF(ISNUMBER(SEARCH("Low",AU1)), $AU$2/0.025, "No"))</f>
        <v>0</v>
      </c>
      <c r="AV25" s="5">
        <f>IF(ISNUMBER(SEARCH("High",AV1)), $AV$2/0.1, IF(ISNUMBER(SEARCH("Low",AV1)), $AV$2/0.025, "No"))</f>
        <v>1.1103999999999998</v>
      </c>
    </row>
    <row r="26" spans="1:48" x14ac:dyDescent="0.2">
      <c r="A26" t="str">
        <f>$A$3</f>
        <v>2.42</v>
      </c>
      <c r="B26" t="str">
        <f>$B$3</f>
        <v>CBDV</v>
      </c>
      <c r="C26" t="str">
        <f>$C$3</f>
        <v>Compou
nd
Amount</v>
      </c>
      <c r="D26" s="5">
        <f>IF(ISNUMBER(SEARCH("High",D1)), $D$3/0.1, IF(ISNUMBER(SEARCH("Low",D1)), $D$3/0.025, "No"))</f>
        <v>0</v>
      </c>
      <c r="E26" s="5">
        <f>IF(ISNUMBER(SEARCH("High",E1)), $E$3/0.1, IF(ISNUMBER(SEARCH("Low",E1)), $E$3/0.025, "No"))</f>
        <v>1.1072</v>
      </c>
      <c r="F26" s="5" t="str">
        <f>IF(ISNUMBER(SEARCH("High",F1)), $F$3/0.1, IF(ISNUMBER(SEARCH("Low",F1)), $F$3/0.025, "No"))</f>
        <v>No</v>
      </c>
      <c r="G26" s="5" t="str">
        <f>IF(ISNUMBER(SEARCH("High",G1)), $G$3/0.1, IF(ISNUMBER(SEARCH("Low",G1)), $G$3/0.025, "No"))</f>
        <v>No</v>
      </c>
      <c r="H26" s="5" t="str">
        <f>IF(ISNUMBER(SEARCH("High",H1)), $H$3/0.1, IF(ISNUMBER(SEARCH("Low",H1)), $H$3/0.025, "No"))</f>
        <v>No</v>
      </c>
      <c r="I26" s="5" t="str">
        <f>IF(ISNUMBER(SEARCH("High",I1)), $I$3/0.1, IF(ISNUMBER(SEARCH("Low",I1)), $I$3/0.025, "No"))</f>
        <v>No</v>
      </c>
      <c r="J26" s="5" t="str">
        <f>IF(ISNUMBER(SEARCH("High",J1)), $J$3/0.1, IF(ISNUMBER(SEARCH("Low",J1)), $J$3/0.025, "No"))</f>
        <v>No</v>
      </c>
      <c r="K26" s="5" t="str">
        <f>IF(ISNUMBER(SEARCH("High",K1)), $K$3/0.1, IF(ISNUMBER(SEARCH("Low",K1)), $K$3/0.025, "No"))</f>
        <v>No</v>
      </c>
      <c r="L26" s="5" t="str">
        <f>IF(ISNUMBER(SEARCH("High",L1)), $L$3/0.1, IF(ISNUMBER(SEARCH("Low",L1)), $L$3/0.025, "No"))</f>
        <v>No</v>
      </c>
      <c r="M26" s="5" t="str">
        <f>IF(ISNUMBER(SEARCH("High",M1)), $M$3/0.1, IF(ISNUMBER(SEARCH("Low",M1)), $M$3/0.025, "No"))</f>
        <v>No</v>
      </c>
      <c r="N26" s="5" t="str">
        <f>IF(ISNUMBER(SEARCH("High",N1)), $N$3/0.1, IF(ISNUMBER(SEARCH("Low",N1)), $N$3/0.025, "No"))</f>
        <v>No</v>
      </c>
      <c r="O26" s="5" t="str">
        <f>IF(ISNUMBER(SEARCH("High",O1)), $O$3/0.1, IF(ISNUMBER(SEARCH("Low",O1)), $O$3/0.025, "No"))</f>
        <v>No</v>
      </c>
      <c r="P26" s="5" t="str">
        <f>IF(ISNUMBER(SEARCH("High",P1)), $P$3/0.1, IF(ISNUMBER(SEARCH("Low",P1)), $P$3/0.025, "No"))</f>
        <v>No</v>
      </c>
      <c r="Q26" s="5" t="str">
        <f>IF(ISNUMBER(SEARCH("High",Q1)), $Q$3/0.1, IF(ISNUMBER(SEARCH("Low",Q1)), $Q$3/0.025, "No"))</f>
        <v>No</v>
      </c>
      <c r="R26" s="5">
        <f>IF(ISNUMBER(SEARCH("High",R1)), $R$3/0.1, IF(ISNUMBER(SEARCH("Low",R1)), $R$3/0.025, "No"))</f>
        <v>1.0920000000000001</v>
      </c>
      <c r="S26" s="5" t="str">
        <f>IF(ISNUMBER(SEARCH("High",S1)), $S$3/0.1, IF(ISNUMBER(SEARCH("Low",S1)), $S$3/0.025, "No"))</f>
        <v>No</v>
      </c>
      <c r="T26" s="5" t="str">
        <f>IF(ISNUMBER(SEARCH("High",T1)), $T$3/0.1, IF(ISNUMBER(SEARCH("Low",T1)), $T$3/0.025, "No"))</f>
        <v>No</v>
      </c>
      <c r="U26" s="5" t="str">
        <f>IF(ISNUMBER(SEARCH("High",U1)), $U$3/0.1, IF(ISNUMBER(SEARCH("Low",U1)), $U$3/0.025, "No"))</f>
        <v>No</v>
      </c>
      <c r="V26" s="5" t="str">
        <f>IF(ISNUMBER(SEARCH("High",V1)), $V$3/0.1, IF(ISNUMBER(SEARCH("Low",V1)), $V$3/0.025, "No"))</f>
        <v>No</v>
      </c>
      <c r="W26" s="5" t="str">
        <f>IF(ISNUMBER(SEARCH("High",W1)), $W$3/0.1, IF(ISNUMBER(SEARCH("Low",W1)), $W$3/0.025, "No"))</f>
        <v>No</v>
      </c>
      <c r="X26" s="5" t="str">
        <f>IF(ISNUMBER(SEARCH("High",X1)), $X$3/0.1, IF(ISNUMBER(SEARCH("Low",X1)), $X$3/0.025, "No"))</f>
        <v>No</v>
      </c>
      <c r="Y26" s="5" t="str">
        <f>IF(ISNUMBER(SEARCH("High",Y1)), $Y$3/0.1, IF(ISNUMBER(SEARCH("Low",Y1)), $Y$3/0.025, "No"))</f>
        <v>No</v>
      </c>
      <c r="Z26" s="5" t="str">
        <f>IF(ISNUMBER(SEARCH("High",Z1)), $Z$3/0.1, IF(ISNUMBER(SEARCH("Low",Z1)), $Z$3/0.025, "No"))</f>
        <v>No</v>
      </c>
      <c r="AA26" s="5">
        <f>IF(ISNUMBER(SEARCH("High",AA1)), $AA$3/0.1, IF(ISNUMBER(SEARCH("Low",AA1)), $AA$3/0.025, "No"))</f>
        <v>0</v>
      </c>
      <c r="AB26" s="5">
        <f>IF(ISNUMBER(SEARCH("High",AB1)), $AB$3/0.1, IF(ISNUMBER(SEARCH("Low",AB1)), $AB$3/0.025, "No"))</f>
        <v>1.0815999999999999</v>
      </c>
      <c r="AC26" s="5" t="str">
        <f>IF(ISNUMBER(SEARCH("High",AC1)), $AC$3/0.1, IF(ISNUMBER(SEARCH("Low",AC1)), $AC$3/0.025, "No"))</f>
        <v>No</v>
      </c>
      <c r="AD26" s="5" t="str">
        <f>IF(ISNUMBER(SEARCH("High",AD1)), $AD$3/0.1, IF(ISNUMBER(SEARCH("Low",AD1)), $AD$3/0.025, "No"))</f>
        <v>No</v>
      </c>
      <c r="AE26" s="5" t="str">
        <f>IF(ISNUMBER(SEARCH("High",AE1)), $AE$3/0.1, IF(ISNUMBER(SEARCH("Low",AE1)), $AE$3/0.025, "No"))</f>
        <v>No</v>
      </c>
      <c r="AF26" s="5" t="str">
        <f>IF(ISNUMBER(SEARCH("High",AF1)), $AF$3/0.1, IF(ISNUMBER(SEARCH("Low",AF1)), $AF$3/0.025, "No"))</f>
        <v>No</v>
      </c>
      <c r="AG26" s="5" t="str">
        <f>IF(ISNUMBER(SEARCH("High",AG1)), $AG$3/0.1, IF(ISNUMBER(SEARCH("Low",AG1)), $AG$3/0.025, "No"))</f>
        <v>No</v>
      </c>
      <c r="AH26" s="5" t="str">
        <f>IF(ISNUMBER(SEARCH("High",AH1)), $AH$3/0.1, IF(ISNUMBER(SEARCH("Low",AH1)), $AH$3/0.025, "No"))</f>
        <v>No</v>
      </c>
      <c r="AI26" s="5" t="str">
        <f>IF(ISNUMBER(SEARCH("High",AI1)), $AI$3/0.1, IF(ISNUMBER(SEARCH("Low",AI1)), $AI$3/0.025, "No"))</f>
        <v>No</v>
      </c>
      <c r="AJ26" s="5" t="str">
        <f>IF(ISNUMBER(SEARCH("High",AJ1)), $AJ$3/0.1, IF(ISNUMBER(SEARCH("Low",AJ1)), $AJ$3/0.025, "No"))</f>
        <v>No</v>
      </c>
      <c r="AK26" s="5" t="str">
        <f>IF(ISNUMBER(SEARCH("High",AK1)), $AK$3/0.1, IF(ISNUMBER(SEARCH("Low",AK1)), $AK$3/0.025, "No"))</f>
        <v>No</v>
      </c>
      <c r="AL26" s="5" t="str">
        <f>IF(ISNUMBER(SEARCH("High",AL1)), $AL$3/0.1, IF(ISNUMBER(SEARCH("Low",AL1)), $AL$3/0.025, "No"))</f>
        <v>No</v>
      </c>
      <c r="AM26" s="5">
        <f>IF(ISNUMBER(SEARCH("High",AM1)), $AM$3/0.1, IF(ISNUMBER(SEARCH("Low",AM1)), $AM$3/0.025, "No"))</f>
        <v>0</v>
      </c>
      <c r="AN26" s="5">
        <f>IF(ISNUMBER(SEARCH("High",AN1)), $AN$3/0.1, IF(ISNUMBER(SEARCH("Low",AN1)), $AN$3/0.025, "No"))</f>
        <v>1.0775999999999999</v>
      </c>
      <c r="AO26" s="5" t="str">
        <f>IF(ISNUMBER(SEARCH("High",AO1)), $AO$3/0.1, IF(ISNUMBER(SEARCH("Low",AO1)), $AO$3/0.025, "No"))</f>
        <v>No</v>
      </c>
      <c r="AP26" s="5" t="str">
        <f>IF(ISNUMBER(SEARCH("High",AP1)), $AP$3/0.1, IF(ISNUMBER(SEARCH("Low",AP1)), $AP$3/0.025, "No"))</f>
        <v>No</v>
      </c>
      <c r="AQ26" s="5" t="str">
        <f>IF(ISNUMBER(SEARCH("High",AQ1)), $AQ$3/0.1, IF(ISNUMBER(SEARCH("Low",AQ1)), $AQ$3/0.025, "No"))</f>
        <v>No</v>
      </c>
      <c r="AR26" s="5" t="str">
        <f>IF(ISNUMBER(SEARCH("High",AR1)), $AR$3/0.1, IF(ISNUMBER(SEARCH("Low",AR1)), $AR$3/0.025, "No"))</f>
        <v>No</v>
      </c>
      <c r="AS26" s="5" t="str">
        <f>IF(ISNUMBER(SEARCH("High",AS1)), $AS$3/0.1, IF(ISNUMBER(SEARCH("Low",AS1)), $AS$3/0.025, "No"))</f>
        <v>No</v>
      </c>
      <c r="AT26" s="5" t="str">
        <f>IF(ISNUMBER(SEARCH("High",AT1)), $AT$3/0.1, IF(ISNUMBER(SEARCH("Low",AT1)), $AT$3/0.025, "No"))</f>
        <v>No</v>
      </c>
      <c r="AU26" s="5">
        <f>IF(ISNUMBER(SEARCH("High",AU1)), $AU$3/0.1, IF(ISNUMBER(SEARCH("Low",AU1)), $AU$3/0.025, "No"))</f>
        <v>0</v>
      </c>
      <c r="AV26" s="5">
        <f>IF(ISNUMBER(SEARCH("High",AV1)), $AV$3/0.1, IF(ISNUMBER(SEARCH("Low",AV1)), $AV$3/0.025, "No"))</f>
        <v>1.0771999999999999</v>
      </c>
    </row>
    <row r="27" spans="1:48" x14ac:dyDescent="0.2">
      <c r="A27" t="str">
        <f>$A$4</f>
        <v>3.13</v>
      </c>
      <c r="B27" t="str">
        <f>$B$4</f>
        <v>CBDA</v>
      </c>
      <c r="C27" t="str">
        <f>$C$4</f>
        <v>Compou
nd
Amount</v>
      </c>
      <c r="D27" s="5">
        <f>IF(ISNUMBER(SEARCH("High",D1)), $D$4/0.1, IF(ISNUMBER(SEARCH("Low",D1)), $D$4/0.025, "No"))</f>
        <v>0.98580000000000001</v>
      </c>
      <c r="E27" s="5">
        <f>IF(ISNUMBER(SEARCH("High",E1)), $E$4/0.1, IF(ISNUMBER(SEARCH("Low",E1)), $E$4/0.025, "No"))</f>
        <v>1.1092</v>
      </c>
      <c r="F27" s="5" t="str">
        <f>IF(ISNUMBER(SEARCH("High",F1)), $F$4/0.1, IF(ISNUMBER(SEARCH("Low",F1)), $F$4/0.025, "No"))</f>
        <v>No</v>
      </c>
      <c r="G27" s="5" t="str">
        <f>IF(ISNUMBER(SEARCH("High",G1)), $G$4/0.1, IF(ISNUMBER(SEARCH("Low",G1)), $G$4/0.025, "No"))</f>
        <v>No</v>
      </c>
      <c r="H27" s="5" t="str">
        <f>IF(ISNUMBER(SEARCH("High",H1)), $H$4/0.1, IF(ISNUMBER(SEARCH("Low",H1)), $H$4/0.025, "No"))</f>
        <v>No</v>
      </c>
      <c r="I27" s="5" t="str">
        <f>IF(ISNUMBER(SEARCH("High",I1)), $I$4/0.1, IF(ISNUMBER(SEARCH("Low",I1)), $I$4/0.025, "No"))</f>
        <v>No</v>
      </c>
      <c r="J27" s="5" t="str">
        <f>IF(ISNUMBER(SEARCH("High",J1)), $J$4/0.1, IF(ISNUMBER(SEARCH("Low",J1)), $J$4/0.025, "No"))</f>
        <v>No</v>
      </c>
      <c r="K27" s="5" t="str">
        <f>IF(ISNUMBER(SEARCH("High",K1)), $K$4/0.1, IF(ISNUMBER(SEARCH("Low",K1)), $K$4/0.025, "No"))</f>
        <v>No</v>
      </c>
      <c r="L27" s="5" t="str">
        <f>IF(ISNUMBER(SEARCH("High",L1)), $L$4/0.1, IF(ISNUMBER(SEARCH("Low",L1)), $L$4/0.025, "No"))</f>
        <v>No</v>
      </c>
      <c r="M27" s="5" t="str">
        <f>IF(ISNUMBER(SEARCH("High",M1)), $M$4/0.1, IF(ISNUMBER(SEARCH("Low",M1)), $M$4/0.025, "No"))</f>
        <v>No</v>
      </c>
      <c r="N27" s="5" t="str">
        <f>IF(ISNUMBER(SEARCH("High",N1)), $N$4/0.1, IF(ISNUMBER(SEARCH("Low",N1)), $N$4/0.025, "No"))</f>
        <v>No</v>
      </c>
      <c r="O27" s="5" t="str">
        <f>IF(ISNUMBER(SEARCH("High",O1)), $O$4/0.1, IF(ISNUMBER(SEARCH("Low",O1)), $O$4/0.025, "No"))</f>
        <v>No</v>
      </c>
      <c r="P27" s="5" t="str">
        <f>IF(ISNUMBER(SEARCH("High",P1)), $P$4/0.1, IF(ISNUMBER(SEARCH("Low",P1)), $P$4/0.025, "No"))</f>
        <v>No</v>
      </c>
      <c r="Q27" s="5" t="str">
        <f>IF(ISNUMBER(SEARCH("High",Q1)), $Q$4/0.1, IF(ISNUMBER(SEARCH("Low",Q1)), $Q$4/0.025, "No"))</f>
        <v>No</v>
      </c>
      <c r="R27" s="5">
        <f>IF(ISNUMBER(SEARCH("High",R1)), $R$4/0.1, IF(ISNUMBER(SEARCH("Low",R1)), $R$4/0.025, "No"))</f>
        <v>1.0855999999999999</v>
      </c>
      <c r="S27" s="5" t="str">
        <f>IF(ISNUMBER(SEARCH("High",S1)), $S$4/0.1, IF(ISNUMBER(SEARCH("Low",S1)), $S$4/0.025, "No"))</f>
        <v>No</v>
      </c>
      <c r="T27" s="5" t="str">
        <f>IF(ISNUMBER(SEARCH("High",T1)), $T$4/0.1, IF(ISNUMBER(SEARCH("Low",T1)), $T$4/0.025, "No"))</f>
        <v>No</v>
      </c>
      <c r="U27" s="5" t="str">
        <f>IF(ISNUMBER(SEARCH("High",U1)), $U$4/0.1, IF(ISNUMBER(SEARCH("Low",U1)), $U$4/0.025, "No"))</f>
        <v>No</v>
      </c>
      <c r="V27" s="5" t="str">
        <f>IF(ISNUMBER(SEARCH("High",V1)), $V$4/0.1, IF(ISNUMBER(SEARCH("Low",V1)), $V$4/0.025, "No"))</f>
        <v>No</v>
      </c>
      <c r="W27" s="5" t="str">
        <f>IF(ISNUMBER(SEARCH("High",W1)), $W$4/0.1, IF(ISNUMBER(SEARCH("Low",W1)), $W$4/0.025, "No"))</f>
        <v>No</v>
      </c>
      <c r="X27" s="5" t="str">
        <f>IF(ISNUMBER(SEARCH("High",X1)), $X$4/0.1, IF(ISNUMBER(SEARCH("Low",X1)), $X$4/0.025, "No"))</f>
        <v>No</v>
      </c>
      <c r="Y27" s="5" t="str">
        <f>IF(ISNUMBER(SEARCH("High",Y1)), $Y$4/0.1, IF(ISNUMBER(SEARCH("Low",Y1)), $Y$4/0.025, "No"))</f>
        <v>No</v>
      </c>
      <c r="Z27" s="5" t="str">
        <f>IF(ISNUMBER(SEARCH("High",Z1)), $Z$4/0.1, IF(ISNUMBER(SEARCH("Low",Z1)), $Z$4/0.025, "No"))</f>
        <v>No</v>
      </c>
      <c r="AA27" s="5">
        <f>IF(ISNUMBER(SEARCH("High",AA1)), $AA$4/0.1, IF(ISNUMBER(SEARCH("Low",AA1)), $AA$4/0.025, "No"))</f>
        <v>0.96640000000000004</v>
      </c>
      <c r="AB27" s="5">
        <f>IF(ISNUMBER(SEARCH("High",AB1)), $AB$4/0.1, IF(ISNUMBER(SEARCH("Low",AB1)), $AB$4/0.025, "No"))</f>
        <v>1.0664</v>
      </c>
      <c r="AC27" s="5" t="str">
        <f>IF(ISNUMBER(SEARCH("High",AC1)), $AC$4/0.1, IF(ISNUMBER(SEARCH("Low",AC1)), $AC$4/0.025, "No"))</f>
        <v>No</v>
      </c>
      <c r="AD27" s="5" t="str">
        <f>IF(ISNUMBER(SEARCH("High",AD1)), $AD$4/0.1, IF(ISNUMBER(SEARCH("Low",AD1)), $AD$4/0.025, "No"))</f>
        <v>No</v>
      </c>
      <c r="AE27" s="5" t="str">
        <f>IF(ISNUMBER(SEARCH("High",AE1)), $AE$4/0.1, IF(ISNUMBER(SEARCH("Low",AE1)), $AE$4/0.025, "No"))</f>
        <v>No</v>
      </c>
      <c r="AF27" s="5" t="str">
        <f>IF(ISNUMBER(SEARCH("High",AF1)), $AF$4/0.1, IF(ISNUMBER(SEARCH("Low",AF1)), $AF$4/0.025, "No"))</f>
        <v>No</v>
      </c>
      <c r="AG27" s="5" t="str">
        <f>IF(ISNUMBER(SEARCH("High",AG1)), $AG$4/0.1, IF(ISNUMBER(SEARCH("Low",AG1)), $AG$4/0.025, "No"))</f>
        <v>No</v>
      </c>
      <c r="AH27" s="5" t="str">
        <f>IF(ISNUMBER(SEARCH("High",AH1)), $AH$4/0.1, IF(ISNUMBER(SEARCH("Low",AH1)), $AH$4/0.025, "No"))</f>
        <v>No</v>
      </c>
      <c r="AI27" s="5" t="str">
        <f>IF(ISNUMBER(SEARCH("High",AI1)), $AI$4/0.1, IF(ISNUMBER(SEARCH("Low",AI1)), $AI$4/0.025, "No"))</f>
        <v>No</v>
      </c>
      <c r="AJ27" s="5" t="str">
        <f>IF(ISNUMBER(SEARCH("High",AJ1)), $AJ$4/0.1, IF(ISNUMBER(SEARCH("Low",AJ1)), $AJ$4/0.025, "No"))</f>
        <v>No</v>
      </c>
      <c r="AK27" s="5" t="str">
        <f>IF(ISNUMBER(SEARCH("High",AK1)), $AK$4/0.1, IF(ISNUMBER(SEARCH("Low",AK1)), $AK$4/0.025, "No"))</f>
        <v>No</v>
      </c>
      <c r="AL27" s="5" t="str">
        <f>IF(ISNUMBER(SEARCH("High",AL1)), $AL$4/0.1, IF(ISNUMBER(SEARCH("Low",AL1)), $AL$4/0.025, "No"))</f>
        <v>No</v>
      </c>
      <c r="AM27" s="5">
        <f>IF(ISNUMBER(SEARCH("High",AM1)), $AM$4/0.1, IF(ISNUMBER(SEARCH("Low",AM1)), $AM$4/0.025, "No"))</f>
        <v>0.94839999999999991</v>
      </c>
      <c r="AN27" s="5">
        <f>IF(ISNUMBER(SEARCH("High",AN1)), $AN$4/0.1, IF(ISNUMBER(SEARCH("Low",AN1)), $AN$4/0.025, "No"))</f>
        <v>1.0608</v>
      </c>
      <c r="AO27" s="5" t="str">
        <f>IF(ISNUMBER(SEARCH("High",AO1)), $AO$4/0.1, IF(ISNUMBER(SEARCH("Low",AO1)), $AO$4/0.025, "No"))</f>
        <v>No</v>
      </c>
      <c r="AP27" s="5" t="str">
        <f>IF(ISNUMBER(SEARCH("High",AP1)), $AP$4/0.1, IF(ISNUMBER(SEARCH("Low",AP1)), $AP$4/0.025, "No"))</f>
        <v>No</v>
      </c>
      <c r="AQ27" s="5" t="str">
        <f>IF(ISNUMBER(SEARCH("High",AQ1)), $AQ$4/0.1, IF(ISNUMBER(SEARCH("Low",AQ1)), $AQ$4/0.025, "No"))</f>
        <v>No</v>
      </c>
      <c r="AR27" s="5" t="str">
        <f>IF(ISNUMBER(SEARCH("High",AR1)), $AR$4/0.1, IF(ISNUMBER(SEARCH("Low",AR1)), $AR$4/0.025, "No"))</f>
        <v>No</v>
      </c>
      <c r="AS27" s="5" t="str">
        <f>IF(ISNUMBER(SEARCH("High",AS1)), $AS$4/0.1, IF(ISNUMBER(SEARCH("Low",AS1)), $AS$4/0.025, "No"))</f>
        <v>No</v>
      </c>
      <c r="AT27" s="5" t="str">
        <f>IF(ISNUMBER(SEARCH("High",AT1)), $AT$4/0.1, IF(ISNUMBER(SEARCH("Low",AT1)), $AT$4/0.025, "No"))</f>
        <v>No</v>
      </c>
      <c r="AU27" s="5">
        <f>IF(ISNUMBER(SEARCH("High",AU1)), $AU$4/0.1, IF(ISNUMBER(SEARCH("Low",AU1)), $AU$4/0.025, "No"))</f>
        <v>0.94509999999999994</v>
      </c>
      <c r="AV27" s="5">
        <f>IF(ISNUMBER(SEARCH("High",AV1)), $AV$4/0.1, IF(ISNUMBER(SEARCH("Low",AV1)), $AV$4/0.025, "No"))</f>
        <v>1.0591999999999999</v>
      </c>
    </row>
    <row r="28" spans="1:48" x14ac:dyDescent="0.2">
      <c r="A28" t="str">
        <f>$A$5</f>
        <v>3.32</v>
      </c>
      <c r="B28" t="str">
        <f>$B$5</f>
        <v>CBGA</v>
      </c>
      <c r="C28" t="str">
        <f>$C$5</f>
        <v>Compou
nd
Amount</v>
      </c>
      <c r="D28" s="5">
        <f>IF(ISNUMBER(SEARCH("High",D1)), $D$5/0.1, IF(ISNUMBER(SEARCH("Low",D1)), $D$5/0.025, "No"))</f>
        <v>0</v>
      </c>
      <c r="E28" s="5">
        <f>IF(ISNUMBER(SEARCH("High",E1)), $E$5/0.1, IF(ISNUMBER(SEARCH("Low",E1)), $E$5/0.025, "No"))</f>
        <v>1.1192</v>
      </c>
      <c r="F28" s="5" t="str">
        <f>IF(ISNUMBER(SEARCH("High",F1)), $F$5/0.1, IF(ISNUMBER(SEARCH("Low",F1)), $F$5/0.025, "No"))</f>
        <v>No</v>
      </c>
      <c r="G28" s="5" t="str">
        <f>IF(ISNUMBER(SEARCH("High",G1)), $G$5/0.1, IF(ISNUMBER(SEARCH("Low",G1)), $G$5/0.025, "No"))</f>
        <v>No</v>
      </c>
      <c r="H28" s="5" t="str">
        <f>IF(ISNUMBER(SEARCH("High",H1)), $H$5/0.1, IF(ISNUMBER(SEARCH("Low",H1)), $H$5/0.025, "No"))</f>
        <v>No</v>
      </c>
      <c r="I28" s="5" t="str">
        <f>IF(ISNUMBER(SEARCH("High",I1)), $I$5/0.1, IF(ISNUMBER(SEARCH("Low",I1)), $I$5/0.025, "No"))</f>
        <v>No</v>
      </c>
      <c r="J28" s="5" t="str">
        <f>IF(ISNUMBER(SEARCH("High",J1)), $J$5/0.1, IF(ISNUMBER(SEARCH("Low",J1)), $J$5/0.025, "No"))</f>
        <v>No</v>
      </c>
      <c r="K28" s="5" t="str">
        <f>IF(ISNUMBER(SEARCH("High",K1)), $K$5/0.1, IF(ISNUMBER(SEARCH("Low",K1)), $K$5/0.025, "No"))</f>
        <v>No</v>
      </c>
      <c r="L28" s="5" t="str">
        <f>IF(ISNUMBER(SEARCH("High",L1)), $L$5/0.1, IF(ISNUMBER(SEARCH("Low",L1)), $L$5/0.025, "No"))</f>
        <v>No</v>
      </c>
      <c r="M28" s="5" t="str">
        <f>IF(ISNUMBER(SEARCH("High",M1)), $M$5/0.1, IF(ISNUMBER(SEARCH("Low",M1)), $M$5/0.025, "No"))</f>
        <v>No</v>
      </c>
      <c r="N28" s="5" t="str">
        <f>IF(ISNUMBER(SEARCH("High",N1)), $N$5/0.1, IF(ISNUMBER(SEARCH("Low",N1)), $N$5/0.025, "No"))</f>
        <v>No</v>
      </c>
      <c r="O28" s="5" t="str">
        <f>IF(ISNUMBER(SEARCH("High",O1)), $O$5/0.1, IF(ISNUMBER(SEARCH("Low",O1)), $O$5/0.025, "No"))</f>
        <v>No</v>
      </c>
      <c r="P28" s="5" t="str">
        <f>IF(ISNUMBER(SEARCH("High",P1)), $P$5/0.1, IF(ISNUMBER(SEARCH("Low",P1)), $P$5/0.025, "No"))</f>
        <v>No</v>
      </c>
      <c r="Q28" s="5" t="str">
        <f>IF(ISNUMBER(SEARCH("High",Q1)), $Q$5/0.1, IF(ISNUMBER(SEARCH("Low",Q1)), $Q$5/0.025, "No"))</f>
        <v>No</v>
      </c>
      <c r="R28" s="5">
        <f>IF(ISNUMBER(SEARCH("High",R1)), $R$5/0.1, IF(ISNUMBER(SEARCH("Low",R1)), $R$5/0.025, "No"))</f>
        <v>1.0924</v>
      </c>
      <c r="S28" s="5" t="str">
        <f>IF(ISNUMBER(SEARCH("High",S1)), $S$5/0.1, IF(ISNUMBER(SEARCH("Low",S1)), $S$5/0.025, "No"))</f>
        <v>No</v>
      </c>
      <c r="T28" s="5" t="str">
        <f>IF(ISNUMBER(SEARCH("High",T1)), $T$5/0.1, IF(ISNUMBER(SEARCH("Low",T1)), $T$5/0.025, "No"))</f>
        <v>No</v>
      </c>
      <c r="U28" s="5" t="str">
        <f>IF(ISNUMBER(SEARCH("High",U1)), $U$5/0.1, IF(ISNUMBER(SEARCH("Low",U1)), $U$5/0.025, "No"))</f>
        <v>No</v>
      </c>
      <c r="V28" s="5" t="str">
        <f>IF(ISNUMBER(SEARCH("High",V1)), $V$5/0.1, IF(ISNUMBER(SEARCH("Low",V1)), $V$5/0.025, "No"))</f>
        <v>No</v>
      </c>
      <c r="W28" s="5" t="str">
        <f>IF(ISNUMBER(SEARCH("High",W1)), $W$5/0.1, IF(ISNUMBER(SEARCH("Low",W1)), $W$5/0.025, "No"))</f>
        <v>No</v>
      </c>
      <c r="X28" s="5" t="str">
        <f>IF(ISNUMBER(SEARCH("High",X1)), $X$5/0.1, IF(ISNUMBER(SEARCH("Low",X1)), $X$5/0.025, "No"))</f>
        <v>No</v>
      </c>
      <c r="Y28" s="5" t="str">
        <f>IF(ISNUMBER(SEARCH("High",Y1)), $Y$5/0.1, IF(ISNUMBER(SEARCH("Low",Y1)), $Y$5/0.025, "No"))</f>
        <v>No</v>
      </c>
      <c r="Z28" s="5" t="str">
        <f>IF(ISNUMBER(SEARCH("High",Z1)), $Z$5/0.1, IF(ISNUMBER(SEARCH("Low",Z1)), $Z$5/0.025, "No"))</f>
        <v>No</v>
      </c>
      <c r="AA28" s="5">
        <f>IF(ISNUMBER(SEARCH("High",AA1)), $AA$5/0.1, IF(ISNUMBER(SEARCH("Low",AA1)), $AA$5/0.025, "No"))</f>
        <v>0</v>
      </c>
      <c r="AB28" s="5">
        <f>IF(ISNUMBER(SEARCH("High",AB1)), $AB$5/0.1, IF(ISNUMBER(SEARCH("Low",AB1)), $AB$5/0.025, "No"))</f>
        <v>1.0728</v>
      </c>
      <c r="AC28" s="5" t="str">
        <f>IF(ISNUMBER(SEARCH("High",AC1)), $AC$5/0.1, IF(ISNUMBER(SEARCH("Low",AC1)), $AC$5/0.025, "No"))</f>
        <v>No</v>
      </c>
      <c r="AD28" s="5" t="str">
        <f>IF(ISNUMBER(SEARCH("High",AD1)), $AD$5/0.1, IF(ISNUMBER(SEARCH("Low",AD1)), $AD$5/0.025, "No"))</f>
        <v>No</v>
      </c>
      <c r="AE28" s="5" t="str">
        <f>IF(ISNUMBER(SEARCH("High",AE1)), $AE$5/0.1, IF(ISNUMBER(SEARCH("Low",AE1)), $AE$5/0.025, "No"))</f>
        <v>No</v>
      </c>
      <c r="AF28" s="5" t="str">
        <f>IF(ISNUMBER(SEARCH("High",AF1)), $AF$5/0.1, IF(ISNUMBER(SEARCH("Low",AF1)), $AF$5/0.025, "No"))</f>
        <v>No</v>
      </c>
      <c r="AG28" s="5" t="str">
        <f>IF(ISNUMBER(SEARCH("High",AG1)), $AG$5/0.1, IF(ISNUMBER(SEARCH("Low",AG1)), $AG$5/0.025, "No"))</f>
        <v>No</v>
      </c>
      <c r="AH28" s="5" t="str">
        <f>IF(ISNUMBER(SEARCH("High",AH1)), $AH$5/0.1, IF(ISNUMBER(SEARCH("Low",AH1)), $AH$5/0.025, "No"))</f>
        <v>No</v>
      </c>
      <c r="AI28" s="5" t="str">
        <f>IF(ISNUMBER(SEARCH("High",AI1)), $AI$5/0.1, IF(ISNUMBER(SEARCH("Low",AI1)), $AI$5/0.025, "No"))</f>
        <v>No</v>
      </c>
      <c r="AJ28" s="5" t="str">
        <f>IF(ISNUMBER(SEARCH("High",AJ1)), $AJ$5/0.1, IF(ISNUMBER(SEARCH("Low",AJ1)), $AJ$5/0.025, "No"))</f>
        <v>No</v>
      </c>
      <c r="AK28" s="5" t="str">
        <f>IF(ISNUMBER(SEARCH("High",AK1)), $AK$5/0.1, IF(ISNUMBER(SEARCH("Low",AK1)), $AK$5/0.025, "No"))</f>
        <v>No</v>
      </c>
      <c r="AL28" s="5" t="str">
        <f>IF(ISNUMBER(SEARCH("High",AL1)), $AL$5/0.1, IF(ISNUMBER(SEARCH("Low",AL1)), $AL$5/0.025, "No"))</f>
        <v>No</v>
      </c>
      <c r="AM28" s="5">
        <f>IF(ISNUMBER(SEARCH("High",AM1)), $AM$5/0.1, IF(ISNUMBER(SEARCH("Low",AM1)), $AM$5/0.025, "No"))</f>
        <v>0</v>
      </c>
      <c r="AN28" s="5">
        <f>IF(ISNUMBER(SEARCH("High",AN1)), $AN$5/0.1, IF(ISNUMBER(SEARCH("Low",AN1)), $AN$5/0.025, "No"))</f>
        <v>1.0680000000000001</v>
      </c>
      <c r="AO28" s="5" t="str">
        <f>IF(ISNUMBER(SEARCH("High",AO1)), $AO$5/0.1, IF(ISNUMBER(SEARCH("Low",AO1)), $AO$5/0.025, "No"))</f>
        <v>No</v>
      </c>
      <c r="AP28" s="5" t="str">
        <f>IF(ISNUMBER(SEARCH("High",AP1)), $AP$5/0.1, IF(ISNUMBER(SEARCH("Low",AP1)), $AP$5/0.025, "No"))</f>
        <v>No</v>
      </c>
      <c r="AQ28" s="5" t="str">
        <f>IF(ISNUMBER(SEARCH("High",AQ1)), $AQ$5/0.1, IF(ISNUMBER(SEARCH("Low",AQ1)), $AQ$5/0.025, "No"))</f>
        <v>No</v>
      </c>
      <c r="AR28" s="5" t="str">
        <f>IF(ISNUMBER(SEARCH("High",AR1)), $AR$5/0.1, IF(ISNUMBER(SEARCH("Low",AR1)), $AR$5/0.025, "No"))</f>
        <v>No</v>
      </c>
      <c r="AS28" s="5" t="str">
        <f>IF(ISNUMBER(SEARCH("High",AS1)), $AS$5/0.1, IF(ISNUMBER(SEARCH("Low",AS1)), $AS$5/0.025, "No"))</f>
        <v>No</v>
      </c>
      <c r="AT28" s="5" t="str">
        <f>IF(ISNUMBER(SEARCH("High",AT1)), $AT$5/0.1, IF(ISNUMBER(SEARCH("Low",AT1)), $AT$5/0.025, "No"))</f>
        <v>No</v>
      </c>
      <c r="AU28" s="5">
        <f>IF(ISNUMBER(SEARCH("High",AU1)), $AU$5/0.1, IF(ISNUMBER(SEARCH("Low",AU1)), $AU$5/0.025, "No"))</f>
        <v>0</v>
      </c>
      <c r="AV28" s="5">
        <f>IF(ISNUMBER(SEARCH("High",AV1)), $AV$5/0.1, IF(ISNUMBER(SEARCH("Low",AV1)), $AV$5/0.025, "No"))</f>
        <v>1.0664</v>
      </c>
    </row>
    <row r="29" spans="1:48" x14ac:dyDescent="0.2">
      <c r="A29" t="str">
        <f>$A$6</f>
        <v>3.69</v>
      </c>
      <c r="B29" t="str">
        <f>$B$6</f>
        <v>CBG</v>
      </c>
      <c r="C29" t="str">
        <f>$C$6</f>
        <v>Compou
nd
Amount</v>
      </c>
      <c r="D29" s="5">
        <f>IF(ISNUMBER(SEARCH("High",D1)), $D$6/0.1, IF(ISNUMBER(SEARCH("Low",D1)), $D$6/0.025, "No"))</f>
        <v>0</v>
      </c>
      <c r="E29" s="5">
        <f>IF(ISNUMBER(SEARCH("High",E1)), $E$6/0.1, IF(ISNUMBER(SEARCH("Low",E1)), $E$6/0.025, "No"))</f>
        <v>1.1020000000000001</v>
      </c>
      <c r="F29" s="5" t="str">
        <f>IF(ISNUMBER(SEARCH("High",F1)), $F$6/0.1, IF(ISNUMBER(SEARCH("Low",F1)), $F$6/0.025, "No"))</f>
        <v>No</v>
      </c>
      <c r="G29" s="5" t="str">
        <f>IF(ISNUMBER(SEARCH("High",G1)), $G$6/0.1, IF(ISNUMBER(SEARCH("Low",G1)), $G$6/0.025, "No"))</f>
        <v>No</v>
      </c>
      <c r="H29" s="5" t="str">
        <f>IF(ISNUMBER(SEARCH("High",H1)), $H$6/0.1, IF(ISNUMBER(SEARCH("Low",H1)), $H$6/0.025, "No"))</f>
        <v>No</v>
      </c>
      <c r="I29" s="5" t="str">
        <f>IF(ISNUMBER(SEARCH("High",I1)), $I$6/0.1, IF(ISNUMBER(SEARCH("Low",I1)), $I$6/0.025, "No"))</f>
        <v>No</v>
      </c>
      <c r="J29" s="5" t="str">
        <f>IF(ISNUMBER(SEARCH("High",J1)), $J$6/0.1, IF(ISNUMBER(SEARCH("Low",J1)), $J$6/0.025, "No"))</f>
        <v>No</v>
      </c>
      <c r="K29" s="5" t="str">
        <f>IF(ISNUMBER(SEARCH("High",K1)), $K$6/0.1, IF(ISNUMBER(SEARCH("Low",K1)), $K$6/0.025, "No"))</f>
        <v>No</v>
      </c>
      <c r="L29" s="5" t="str">
        <f>IF(ISNUMBER(SEARCH("High",L1)), $L$6/0.1, IF(ISNUMBER(SEARCH("Low",L1)), $L$6/0.025, "No"))</f>
        <v>No</v>
      </c>
      <c r="M29" s="5" t="str">
        <f>IF(ISNUMBER(SEARCH("High",M1)), $M$6/0.1, IF(ISNUMBER(SEARCH("Low",M1)), $M$6/0.025, "No"))</f>
        <v>No</v>
      </c>
      <c r="N29" s="5" t="str">
        <f>IF(ISNUMBER(SEARCH("High",N1)), $N$6/0.1, IF(ISNUMBER(SEARCH("Low",N1)), $N$6/0.025, "No"))</f>
        <v>No</v>
      </c>
      <c r="O29" s="5" t="str">
        <f>IF(ISNUMBER(SEARCH("High",O1)), $O$6/0.1, IF(ISNUMBER(SEARCH("Low",O1)), $O$6/0.025, "No"))</f>
        <v>No</v>
      </c>
      <c r="P29" s="5" t="str">
        <f>IF(ISNUMBER(SEARCH("High",P1)), $P$6/0.1, IF(ISNUMBER(SEARCH("Low",P1)), $P$6/0.025, "No"))</f>
        <v>No</v>
      </c>
      <c r="Q29" s="5" t="str">
        <f>IF(ISNUMBER(SEARCH("High",Q1)), $Q$6/0.1, IF(ISNUMBER(SEARCH("Low",Q1)), $Q$6/0.025, "No"))</f>
        <v>No</v>
      </c>
      <c r="R29" s="5">
        <f>IF(ISNUMBER(SEARCH("High",R1)), $R$6/0.1, IF(ISNUMBER(SEARCH("Low",R1)), $R$6/0.025, "No"))</f>
        <v>1.0831999999999999</v>
      </c>
      <c r="S29" s="5" t="str">
        <f>IF(ISNUMBER(SEARCH("High",S1)), $S$6/0.1, IF(ISNUMBER(SEARCH("Low",S1)), $S$6/0.025, "No"))</f>
        <v>No</v>
      </c>
      <c r="T29" s="5" t="str">
        <f>IF(ISNUMBER(SEARCH("High",T1)), $T$6/0.1, IF(ISNUMBER(SEARCH("Low",T1)), $T$6/0.025, "No"))</f>
        <v>No</v>
      </c>
      <c r="U29" s="5" t="str">
        <f>IF(ISNUMBER(SEARCH("High",U1)), $U$6/0.1, IF(ISNUMBER(SEARCH("Low",U1)), $U$6/0.025, "No"))</f>
        <v>No</v>
      </c>
      <c r="V29" s="5" t="str">
        <f>IF(ISNUMBER(SEARCH("High",V1)), $V$6/0.1, IF(ISNUMBER(SEARCH("Low",V1)), $V$6/0.025, "No"))</f>
        <v>No</v>
      </c>
      <c r="W29" s="5" t="str">
        <f>IF(ISNUMBER(SEARCH("High",W1)), $W$6/0.1, IF(ISNUMBER(SEARCH("Low",W1)), $W$6/0.025, "No"))</f>
        <v>No</v>
      </c>
      <c r="X29" s="5" t="str">
        <f>IF(ISNUMBER(SEARCH("High",X1)), $X$6/0.1, IF(ISNUMBER(SEARCH("Low",X1)), $X$6/0.025, "No"))</f>
        <v>No</v>
      </c>
      <c r="Y29" s="5" t="str">
        <f>IF(ISNUMBER(SEARCH("High",Y1)), $Y$6/0.1, IF(ISNUMBER(SEARCH("Low",Y1)), $Y$6/0.025, "No"))</f>
        <v>No</v>
      </c>
      <c r="Z29" s="5" t="str">
        <f>IF(ISNUMBER(SEARCH("High",Z1)), $Z$6/0.1, IF(ISNUMBER(SEARCH("Low",Z1)), $Z$6/0.025, "No"))</f>
        <v>No</v>
      </c>
      <c r="AA29" s="5">
        <f>IF(ISNUMBER(SEARCH("High",AA1)), $AA$6/0.1, IF(ISNUMBER(SEARCH("Low",AA1)), $AA$6/0.025, "No"))</f>
        <v>0</v>
      </c>
      <c r="AB29" s="5">
        <f>IF(ISNUMBER(SEARCH("High",AB1)), $AB$6/0.1, IF(ISNUMBER(SEARCH("Low",AB1)), $AB$6/0.025, "No"))</f>
        <v>1.0699999999999998</v>
      </c>
      <c r="AC29" s="5" t="str">
        <f>IF(ISNUMBER(SEARCH("High",AC1)), $AC$6/0.1, IF(ISNUMBER(SEARCH("Low",AC1)), $AC$6/0.025, "No"))</f>
        <v>No</v>
      </c>
      <c r="AD29" s="5" t="str">
        <f>IF(ISNUMBER(SEARCH("High",AD1)), $AD$6/0.1, IF(ISNUMBER(SEARCH("Low",AD1)), $AD$6/0.025, "No"))</f>
        <v>No</v>
      </c>
      <c r="AE29" s="5" t="str">
        <f>IF(ISNUMBER(SEARCH("High",AE1)), $AE$6/0.1, IF(ISNUMBER(SEARCH("Low",AE1)), $AE$6/0.025, "No"))</f>
        <v>No</v>
      </c>
      <c r="AF29" s="5" t="str">
        <f>IF(ISNUMBER(SEARCH("High",AF1)), $AF$6/0.1, IF(ISNUMBER(SEARCH("Low",AF1)), $AF$6/0.025, "No"))</f>
        <v>No</v>
      </c>
      <c r="AG29" s="5" t="str">
        <f>IF(ISNUMBER(SEARCH("High",AG1)), $AG$6/0.1, IF(ISNUMBER(SEARCH("Low",AG1)), $AG$6/0.025, "No"))</f>
        <v>No</v>
      </c>
      <c r="AH29" s="5" t="str">
        <f>IF(ISNUMBER(SEARCH("High",AH1)), $AH$6/0.1, IF(ISNUMBER(SEARCH("Low",AH1)), $AH$6/0.025, "No"))</f>
        <v>No</v>
      </c>
      <c r="AI29" s="5" t="str">
        <f>IF(ISNUMBER(SEARCH("High",AI1)), $AI$6/0.1, IF(ISNUMBER(SEARCH("Low",AI1)), $AI$6/0.025, "No"))</f>
        <v>No</v>
      </c>
      <c r="AJ29" s="5" t="str">
        <f>IF(ISNUMBER(SEARCH("High",AJ1)), $AJ$6/0.1, IF(ISNUMBER(SEARCH("Low",AJ1)), $AJ$6/0.025, "No"))</f>
        <v>No</v>
      </c>
      <c r="AK29" s="5" t="str">
        <f>IF(ISNUMBER(SEARCH("High",AK1)), $AK$6/0.1, IF(ISNUMBER(SEARCH("Low",AK1)), $AK$6/0.025, "No"))</f>
        <v>No</v>
      </c>
      <c r="AL29" s="5" t="str">
        <f>IF(ISNUMBER(SEARCH("High",AL1)), $AL$6/0.1, IF(ISNUMBER(SEARCH("Low",AL1)), $AL$6/0.025, "No"))</f>
        <v>No</v>
      </c>
      <c r="AM29" s="5">
        <f>IF(ISNUMBER(SEARCH("High",AM1)), $AM$6/0.1, IF(ISNUMBER(SEARCH("Low",AM1)), $AM$6/0.025, "No"))</f>
        <v>0</v>
      </c>
      <c r="AN29" s="5">
        <f>IF(ISNUMBER(SEARCH("High",AN1)), $AN$6/0.1, IF(ISNUMBER(SEARCH("Low",AN1)), $AN$6/0.025, "No"))</f>
        <v>1.0655999999999999</v>
      </c>
      <c r="AO29" s="5" t="str">
        <f>IF(ISNUMBER(SEARCH("High",AO1)), $AO$6/0.1, IF(ISNUMBER(SEARCH("Low",AO1)), $AO$6/0.025, "No"))</f>
        <v>No</v>
      </c>
      <c r="AP29" s="5" t="str">
        <f>IF(ISNUMBER(SEARCH("High",AP1)), $AP$6/0.1, IF(ISNUMBER(SEARCH("Low",AP1)), $AP$6/0.025, "No"))</f>
        <v>No</v>
      </c>
      <c r="AQ29" s="5" t="str">
        <f>IF(ISNUMBER(SEARCH("High",AQ1)), $AQ$6/0.1, IF(ISNUMBER(SEARCH("Low",AQ1)), $AQ$6/0.025, "No"))</f>
        <v>No</v>
      </c>
      <c r="AR29" s="5" t="str">
        <f>IF(ISNUMBER(SEARCH("High",AR1)), $AR$6/0.1, IF(ISNUMBER(SEARCH("Low",AR1)), $AR$6/0.025, "No"))</f>
        <v>No</v>
      </c>
      <c r="AS29" s="5" t="str">
        <f>IF(ISNUMBER(SEARCH("High",AS1)), $AS$6/0.1, IF(ISNUMBER(SEARCH("Low",AS1)), $AS$6/0.025, "No"))</f>
        <v>No</v>
      </c>
      <c r="AT29" s="5" t="str">
        <f>IF(ISNUMBER(SEARCH("High",AT1)), $AT$6/0.1, IF(ISNUMBER(SEARCH("Low",AT1)), $AT$6/0.025, "No"))</f>
        <v>No</v>
      </c>
      <c r="AU29" s="5">
        <f>IF(ISNUMBER(SEARCH("High",AU1)), $AU$6/0.1, IF(ISNUMBER(SEARCH("Low",AU1)), $AU$6/0.025, "No"))</f>
        <v>0</v>
      </c>
      <c r="AV29" s="5">
        <f>IF(ISNUMBER(SEARCH("High",AV1)), $AV$6/0.1, IF(ISNUMBER(SEARCH("Low",AV1)), $AV$6/0.025, "No"))</f>
        <v>1.0655999999999999</v>
      </c>
    </row>
    <row r="30" spans="1:48" x14ac:dyDescent="0.2">
      <c r="A30" t="str">
        <f>$A$7</f>
        <v>3.93</v>
      </c>
      <c r="B30" t="str">
        <f>$B$7</f>
        <v>CBD</v>
      </c>
      <c r="C30" t="str">
        <f>$C$7</f>
        <v>Compou
nd
Amount</v>
      </c>
      <c r="D30" s="5">
        <f>IF(ISNUMBER(SEARCH("High",D1)), $D$7/0.1, IF(ISNUMBER(SEARCH("Low",D1)), $D$7/0.025, "No"))</f>
        <v>1.0359999999999998</v>
      </c>
      <c r="E30" s="5">
        <f>IF(ISNUMBER(SEARCH("High",E1)), $E$7/0.1, IF(ISNUMBER(SEARCH("Low",E1)), $E$7/0.025, "No"))</f>
        <v>1.0875999999999999</v>
      </c>
      <c r="F30" s="5" t="str">
        <f>IF(ISNUMBER(SEARCH("High",F1)), $F$7/0.1, IF(ISNUMBER(SEARCH("Low",F1)), $F$7/0.025, "No"))</f>
        <v>No</v>
      </c>
      <c r="G30" s="5" t="str">
        <f>IF(ISNUMBER(SEARCH("High",G1)), $G$7/0.1, IF(ISNUMBER(SEARCH("Low",G1)), $G$7/0.025, "No"))</f>
        <v>No</v>
      </c>
      <c r="H30" s="5" t="str">
        <f>IF(ISNUMBER(SEARCH("High",H1)), $H$7/0.1, IF(ISNUMBER(SEARCH("Low",H1)), $H$7/0.025, "No"))</f>
        <v>No</v>
      </c>
      <c r="I30" s="5" t="str">
        <f>IF(ISNUMBER(SEARCH("High",I1)), $I$7/0.1, IF(ISNUMBER(SEARCH("Low",I1)), $I$7/0.025, "No"))</f>
        <v>No</v>
      </c>
      <c r="J30" s="5" t="str">
        <f>IF(ISNUMBER(SEARCH("High",J1)), $J$7/0.1, IF(ISNUMBER(SEARCH("Low",J1)), $J$7/0.025, "No"))</f>
        <v>No</v>
      </c>
      <c r="K30" s="5" t="str">
        <f>IF(ISNUMBER(SEARCH("High",K1)), $K$7/0.1, IF(ISNUMBER(SEARCH("Low",K1)), $K$7/0.025, "No"))</f>
        <v>No</v>
      </c>
      <c r="L30" s="5" t="str">
        <f>IF(ISNUMBER(SEARCH("High",L1)), $L$7/0.1, IF(ISNUMBER(SEARCH("Low",L1)), $L$7/0.025, "No"))</f>
        <v>No</v>
      </c>
      <c r="M30" s="5" t="str">
        <f>IF(ISNUMBER(SEARCH("High",M1)), $M$7/0.1, IF(ISNUMBER(SEARCH("Low",M1)), $M$7/0.025, "No"))</f>
        <v>No</v>
      </c>
      <c r="N30" s="5" t="str">
        <f>IF(ISNUMBER(SEARCH("High",N1)), $N$7/0.1, IF(ISNUMBER(SEARCH("Low",N1)), $N$7/0.025, "No"))</f>
        <v>No</v>
      </c>
      <c r="O30" s="5" t="str">
        <f>IF(ISNUMBER(SEARCH("High",O1)), $O$7/0.1, IF(ISNUMBER(SEARCH("Low",O1)), $O$7/0.025, "No"))</f>
        <v>No</v>
      </c>
      <c r="P30" s="5" t="str">
        <f>IF(ISNUMBER(SEARCH("High",P1)), $P$7/0.1, IF(ISNUMBER(SEARCH("Low",P1)), $P$7/0.025, "No"))</f>
        <v>No</v>
      </c>
      <c r="Q30" s="5" t="str">
        <f>IF(ISNUMBER(SEARCH("High",Q1)), $Q$7/0.1, IF(ISNUMBER(SEARCH("Low",Q1)), $Q$7/0.025, "No"))</f>
        <v>No</v>
      </c>
      <c r="R30" s="5">
        <f>IF(ISNUMBER(SEARCH("High",R1)), $R$7/0.1, IF(ISNUMBER(SEARCH("Low",R1)), $R$7/0.025, "No"))</f>
        <v>1.0748</v>
      </c>
      <c r="S30" s="5" t="str">
        <f>IF(ISNUMBER(SEARCH("High",S1)), $S$7/0.1, IF(ISNUMBER(SEARCH("Low",S1)), $S$7/0.025, "No"))</f>
        <v>No</v>
      </c>
      <c r="T30" s="5" t="str">
        <f>IF(ISNUMBER(SEARCH("High",T1)), $T$7/0.1, IF(ISNUMBER(SEARCH("Low",T1)), $T$7/0.025, "No"))</f>
        <v>No</v>
      </c>
      <c r="U30" s="5" t="str">
        <f>IF(ISNUMBER(SEARCH("High",U1)), $U$7/0.1, IF(ISNUMBER(SEARCH("Low",U1)), $U$7/0.025, "No"))</f>
        <v>No</v>
      </c>
      <c r="V30" s="5" t="str">
        <f>IF(ISNUMBER(SEARCH("High",V1)), $V$7/0.1, IF(ISNUMBER(SEARCH("Low",V1)), $V$7/0.025, "No"))</f>
        <v>No</v>
      </c>
      <c r="W30" s="5" t="str">
        <f>IF(ISNUMBER(SEARCH("High",W1)), $W$7/0.1, IF(ISNUMBER(SEARCH("Low",W1)), $W$7/0.025, "No"))</f>
        <v>No</v>
      </c>
      <c r="X30" s="5" t="str">
        <f>IF(ISNUMBER(SEARCH("High",X1)), $X$7/0.1, IF(ISNUMBER(SEARCH("Low",X1)), $X$7/0.025, "No"))</f>
        <v>No</v>
      </c>
      <c r="Y30" s="5" t="str">
        <f>IF(ISNUMBER(SEARCH("High",Y1)), $Y$7/0.1, IF(ISNUMBER(SEARCH("Low",Y1)), $Y$7/0.025, "No"))</f>
        <v>No</v>
      </c>
      <c r="Z30" s="5" t="str">
        <f>IF(ISNUMBER(SEARCH("High",Z1)), $Z$7/0.1, IF(ISNUMBER(SEARCH("Low",Z1)), $Z$7/0.025, "No"))</f>
        <v>No</v>
      </c>
      <c r="AA30" s="5">
        <f>IF(ISNUMBER(SEARCH("High",AA1)), $AA$7/0.1, IF(ISNUMBER(SEARCH("Low",AA1)), $AA$7/0.025, "No"))</f>
        <v>1.008</v>
      </c>
      <c r="AB30" s="5">
        <f>IF(ISNUMBER(SEARCH("High",AB1)), $AB$7/0.1, IF(ISNUMBER(SEARCH("Low",AB1)), $AB$7/0.025, "No"))</f>
        <v>1.0639999999999998</v>
      </c>
      <c r="AC30" s="5" t="str">
        <f>IF(ISNUMBER(SEARCH("High",AC1)), $AC$7/0.1, IF(ISNUMBER(SEARCH("Low",AC1)), $AC$7/0.025, "No"))</f>
        <v>No</v>
      </c>
      <c r="AD30" s="5" t="str">
        <f>IF(ISNUMBER(SEARCH("High",AD1)), $AD$7/0.1, IF(ISNUMBER(SEARCH("Low",AD1)), $AD$7/0.025, "No"))</f>
        <v>No</v>
      </c>
      <c r="AE30" s="5" t="str">
        <f>IF(ISNUMBER(SEARCH("High",AE1)), $AE$7/0.1, IF(ISNUMBER(SEARCH("Low",AE1)), $AE$7/0.025, "No"))</f>
        <v>No</v>
      </c>
      <c r="AF30" s="5" t="str">
        <f>IF(ISNUMBER(SEARCH("High",AF1)), $AF$7/0.1, IF(ISNUMBER(SEARCH("Low",AF1)), $AF$7/0.025, "No"))</f>
        <v>No</v>
      </c>
      <c r="AG30" s="5" t="str">
        <f>IF(ISNUMBER(SEARCH("High",AG1)), $AG$7/0.1, IF(ISNUMBER(SEARCH("Low",AG1)), $AG$7/0.025, "No"))</f>
        <v>No</v>
      </c>
      <c r="AH30" s="5" t="str">
        <f>IF(ISNUMBER(SEARCH("High",AH1)), $AH$7/0.1, IF(ISNUMBER(SEARCH("Low",AH1)), $AH$7/0.025, "No"))</f>
        <v>No</v>
      </c>
      <c r="AI30" s="5" t="str">
        <f>IF(ISNUMBER(SEARCH("High",AI1)), $AI$7/0.1, IF(ISNUMBER(SEARCH("Low",AI1)), $AI$7/0.025, "No"))</f>
        <v>No</v>
      </c>
      <c r="AJ30" s="5" t="str">
        <f>IF(ISNUMBER(SEARCH("High",AJ1)), $AJ$7/0.1, IF(ISNUMBER(SEARCH("Low",AJ1)), $AJ$7/0.025, "No"))</f>
        <v>No</v>
      </c>
      <c r="AK30" s="5" t="str">
        <f>IF(ISNUMBER(SEARCH("High",AK1)), $AK$7/0.1, IF(ISNUMBER(SEARCH("Low",AK1)), $AK$7/0.025, "No"))</f>
        <v>No</v>
      </c>
      <c r="AL30" s="5" t="str">
        <f>IF(ISNUMBER(SEARCH("High",AL1)), $AL$7/0.1, IF(ISNUMBER(SEARCH("Low",AL1)), $AL$7/0.025, "No"))</f>
        <v>No</v>
      </c>
      <c r="AM30" s="5">
        <f>IF(ISNUMBER(SEARCH("High",AM1)), $AM$7/0.1, IF(ISNUMBER(SEARCH("Low",AM1)), $AM$7/0.025, "No"))</f>
        <v>0.99</v>
      </c>
      <c r="AN30" s="5">
        <f>IF(ISNUMBER(SEARCH("High",AN1)), $AN$7/0.1, IF(ISNUMBER(SEARCH("Low",AN1)), $AN$7/0.025, "No"))</f>
        <v>1.0591999999999999</v>
      </c>
      <c r="AO30" s="5" t="str">
        <f>IF(ISNUMBER(SEARCH("High",AO1)), $AO$7/0.1, IF(ISNUMBER(SEARCH("Low",AO1)), $AO$7/0.025, "No"))</f>
        <v>No</v>
      </c>
      <c r="AP30" s="5" t="str">
        <f>IF(ISNUMBER(SEARCH("High",AP1)), $AP$7/0.1, IF(ISNUMBER(SEARCH("Low",AP1)), $AP$7/0.025, "No"))</f>
        <v>No</v>
      </c>
      <c r="AQ30" s="5" t="str">
        <f>IF(ISNUMBER(SEARCH("High",AQ1)), $AQ$7/0.1, IF(ISNUMBER(SEARCH("Low",AQ1)), $AQ$7/0.025, "No"))</f>
        <v>No</v>
      </c>
      <c r="AR30" s="5" t="str">
        <f>IF(ISNUMBER(SEARCH("High",AR1)), $AR$7/0.1, IF(ISNUMBER(SEARCH("Low",AR1)), $AR$7/0.025, "No"))</f>
        <v>No</v>
      </c>
      <c r="AS30" s="5" t="str">
        <f>IF(ISNUMBER(SEARCH("High",AS1)), $AS$7/0.1, IF(ISNUMBER(SEARCH("Low",AS1)), $AS$7/0.025, "No"))</f>
        <v>No</v>
      </c>
      <c r="AT30" s="5" t="str">
        <f>IF(ISNUMBER(SEARCH("High",AT1)), $AT$7/0.1, IF(ISNUMBER(SEARCH("Low",AT1)), $AT$7/0.025, "No"))</f>
        <v>No</v>
      </c>
      <c r="AU30" s="5">
        <f>IF(ISNUMBER(SEARCH("High",AU1)), $AU$7/0.1, IF(ISNUMBER(SEARCH("Low",AU1)), $AU$7/0.025, "No"))</f>
        <v>0.98709999999999998</v>
      </c>
      <c r="AV30" s="5">
        <f>IF(ISNUMBER(SEARCH("High",AV1)), $AV$7/0.1, IF(ISNUMBER(SEARCH("Low",AV1)), $AV$7/0.025, "No"))</f>
        <v>1.0591999999999999</v>
      </c>
    </row>
    <row r="31" spans="1:48" x14ac:dyDescent="0.2">
      <c r="A31" t="str">
        <f>$A$8</f>
        <v>4.19</v>
      </c>
      <c r="B31" t="str">
        <f>$B$8</f>
        <v>THCV</v>
      </c>
      <c r="C31" t="str">
        <f>$C$8</f>
        <v>Compou
nd
Amount</v>
      </c>
      <c r="D31" s="5">
        <f>IF(ISNUMBER(SEARCH("High",D1)), $D$8/0.1, IF(ISNUMBER(SEARCH("Low",D1)), $D$8/0.025, "No"))</f>
        <v>1.2189999999999999E-2</v>
      </c>
      <c r="E31" s="5">
        <f>IF(ISNUMBER(SEARCH("High",E1)), $E$8/0.1, IF(ISNUMBER(SEARCH("Low",E1)), $E$8/0.025, "No"))</f>
        <v>1.0992</v>
      </c>
      <c r="F31" s="5" t="str">
        <f>IF(ISNUMBER(SEARCH("High",F1)), $F$8/0.1, IF(ISNUMBER(SEARCH("Low",F1)), $F$8/0.025, "No"))</f>
        <v>No</v>
      </c>
      <c r="G31" s="5" t="str">
        <f>IF(ISNUMBER(SEARCH("High",G1)), $G$8/0.1, IF(ISNUMBER(SEARCH("Low",G1)), $G$8/0.025, "No"))</f>
        <v>No</v>
      </c>
      <c r="H31" s="5" t="str">
        <f>IF(ISNUMBER(SEARCH("High",H1)), $H$8/0.1, IF(ISNUMBER(SEARCH("Low",H1)), $H$8/0.025, "No"))</f>
        <v>No</v>
      </c>
      <c r="I31" s="5" t="str">
        <f>IF(ISNUMBER(SEARCH("High",I1)), $I$8/0.1, IF(ISNUMBER(SEARCH("Low",I1)), $I$8/0.025, "No"))</f>
        <v>No</v>
      </c>
      <c r="J31" s="5" t="str">
        <f>IF(ISNUMBER(SEARCH("High",J1)), $J$8/0.1, IF(ISNUMBER(SEARCH("Low",J1)), $J$8/0.025, "No"))</f>
        <v>No</v>
      </c>
      <c r="K31" s="5" t="str">
        <f>IF(ISNUMBER(SEARCH("High",K1)), $K$8/0.1, IF(ISNUMBER(SEARCH("Low",K1)), $K$8/0.025, "No"))</f>
        <v>No</v>
      </c>
      <c r="L31" s="5" t="str">
        <f>IF(ISNUMBER(SEARCH("High",L1)), $L$8/0.1, IF(ISNUMBER(SEARCH("Low",L1)), $L$8/0.025, "No"))</f>
        <v>No</v>
      </c>
      <c r="M31" s="5" t="str">
        <f>IF(ISNUMBER(SEARCH("High",M1)), $M$8/0.1, IF(ISNUMBER(SEARCH("Low",M1)), $M$8/0.025, "No"))</f>
        <v>No</v>
      </c>
      <c r="N31" s="5" t="str">
        <f>IF(ISNUMBER(SEARCH("High",N1)), $N$8/0.1, IF(ISNUMBER(SEARCH("Low",N1)), $N$8/0.025, "No"))</f>
        <v>No</v>
      </c>
      <c r="O31" s="5" t="str">
        <f>IF(ISNUMBER(SEARCH("High",O1)), $O$8/0.1, IF(ISNUMBER(SEARCH("Low",O1)), $O$8/0.025, "No"))</f>
        <v>No</v>
      </c>
      <c r="P31" s="5" t="str">
        <f>IF(ISNUMBER(SEARCH("High",P1)), $P$8/0.1, IF(ISNUMBER(SEARCH("Low",P1)), $P$8/0.025, "No"))</f>
        <v>No</v>
      </c>
      <c r="Q31" s="5" t="str">
        <f>IF(ISNUMBER(SEARCH("High",Q1)), $Q$8/0.1, IF(ISNUMBER(SEARCH("Low",Q1)), $Q$8/0.025, "No"))</f>
        <v>No</v>
      </c>
      <c r="R31" s="5">
        <f>IF(ISNUMBER(SEARCH("High",R1)), $R$8/0.1, IF(ISNUMBER(SEARCH("Low",R1)), $R$8/0.025, "No"))</f>
        <v>1.0915999999999999</v>
      </c>
      <c r="S31" s="5" t="str">
        <f>IF(ISNUMBER(SEARCH("High",S1)), $S$8/0.1, IF(ISNUMBER(SEARCH("Low",S1)), $S$8/0.025, "No"))</f>
        <v>No</v>
      </c>
      <c r="T31" s="5" t="str">
        <f>IF(ISNUMBER(SEARCH("High",T1)), $T$8/0.1, IF(ISNUMBER(SEARCH("Low",T1)), $T$8/0.025, "No"))</f>
        <v>No</v>
      </c>
      <c r="U31" s="5" t="str">
        <f>IF(ISNUMBER(SEARCH("High",U1)), $U$8/0.1, IF(ISNUMBER(SEARCH("Low",U1)), $U$8/0.025, "No"))</f>
        <v>No</v>
      </c>
      <c r="V31" s="5" t="str">
        <f>IF(ISNUMBER(SEARCH("High",V1)), $V$8/0.1, IF(ISNUMBER(SEARCH("Low",V1)), $V$8/0.025, "No"))</f>
        <v>No</v>
      </c>
      <c r="W31" s="5" t="str">
        <f>IF(ISNUMBER(SEARCH("High",W1)), $W$8/0.1, IF(ISNUMBER(SEARCH("Low",W1)), $W$8/0.025, "No"))</f>
        <v>No</v>
      </c>
      <c r="X31" s="5" t="str">
        <f>IF(ISNUMBER(SEARCH("High",X1)), $X$8/0.1, IF(ISNUMBER(SEARCH("Low",X1)), $X$8/0.025, "No"))</f>
        <v>No</v>
      </c>
      <c r="Y31" s="5" t="str">
        <f>IF(ISNUMBER(SEARCH("High",Y1)), $Y$8/0.1, IF(ISNUMBER(SEARCH("Low",Y1)), $Y$8/0.025, "No"))</f>
        <v>No</v>
      </c>
      <c r="Z31" s="5" t="str">
        <f>IF(ISNUMBER(SEARCH("High",Z1)), $Z$8/0.1, IF(ISNUMBER(SEARCH("Low",Z1)), $Z$8/0.025, "No"))</f>
        <v>No</v>
      </c>
      <c r="AA31" s="5">
        <f>IF(ISNUMBER(SEARCH("High",AA1)), $AA$8/0.1, IF(ISNUMBER(SEARCH("Low",AA1)), $AA$8/0.025, "No"))</f>
        <v>9.11E-3</v>
      </c>
      <c r="AB31" s="5">
        <f>IF(ISNUMBER(SEARCH("High",AB1)), $AB$8/0.1, IF(ISNUMBER(SEARCH("Low",AB1)), $AB$8/0.025, "No"))</f>
        <v>1.0868</v>
      </c>
      <c r="AC31" s="5" t="str">
        <f>IF(ISNUMBER(SEARCH("High",AC1)), $AC$8/0.1, IF(ISNUMBER(SEARCH("Low",AC1)), $AC$8/0.025, "No"))</f>
        <v>No</v>
      </c>
      <c r="AD31" s="5" t="str">
        <f>IF(ISNUMBER(SEARCH("High",AD1)), $AD$8/0.1, IF(ISNUMBER(SEARCH("Low",AD1)), $AD$8/0.025, "No"))</f>
        <v>No</v>
      </c>
      <c r="AE31" s="5" t="str">
        <f>IF(ISNUMBER(SEARCH("High",AE1)), $AE$8/0.1, IF(ISNUMBER(SEARCH("Low",AE1)), $AE$8/0.025, "No"))</f>
        <v>No</v>
      </c>
      <c r="AF31" s="5" t="str">
        <f>IF(ISNUMBER(SEARCH("High",AF1)), $AF$8/0.1, IF(ISNUMBER(SEARCH("Low",AF1)), $AF$8/0.025, "No"))</f>
        <v>No</v>
      </c>
      <c r="AG31" s="5" t="str">
        <f>IF(ISNUMBER(SEARCH("High",AG1)), $AG$8/0.1, IF(ISNUMBER(SEARCH("Low",AG1)), $AG$8/0.025, "No"))</f>
        <v>No</v>
      </c>
      <c r="AH31" s="5" t="str">
        <f>IF(ISNUMBER(SEARCH("High",AH1)), $AH$8/0.1, IF(ISNUMBER(SEARCH("Low",AH1)), $AH$8/0.025, "No"))</f>
        <v>No</v>
      </c>
      <c r="AI31" s="5" t="str">
        <f>IF(ISNUMBER(SEARCH("High",AI1)), $AI$8/0.1, IF(ISNUMBER(SEARCH("Low",AI1)), $AI$8/0.025, "No"))</f>
        <v>No</v>
      </c>
      <c r="AJ31" s="5" t="str">
        <f>IF(ISNUMBER(SEARCH("High",AJ1)), $AJ$8/0.1, IF(ISNUMBER(SEARCH("Low",AJ1)), $AJ$8/0.025, "No"))</f>
        <v>No</v>
      </c>
      <c r="AK31" s="5" t="str">
        <f>IF(ISNUMBER(SEARCH("High",AK1)), $AK$8/0.1, IF(ISNUMBER(SEARCH("Low",AK1)), $AK$8/0.025, "No"))</f>
        <v>No</v>
      </c>
      <c r="AL31" s="5" t="str">
        <f>IF(ISNUMBER(SEARCH("High",AL1)), $AL$8/0.1, IF(ISNUMBER(SEARCH("Low",AL1)), $AL$8/0.025, "No"))</f>
        <v>No</v>
      </c>
      <c r="AM31" s="5">
        <f>IF(ISNUMBER(SEARCH("High",AM1)), $AM$8/0.1, IF(ISNUMBER(SEARCH("Low",AM1)), $AM$8/0.025, "No"))</f>
        <v>8.0999999999999996E-3</v>
      </c>
      <c r="AN31" s="5">
        <f>IF(ISNUMBER(SEARCH("High",AN1)), $AN$8/0.1, IF(ISNUMBER(SEARCH("Low",AN1)), $AN$8/0.025, "No"))</f>
        <v>1.0824</v>
      </c>
      <c r="AO31" s="5" t="str">
        <f>IF(ISNUMBER(SEARCH("High",AO1)), $AO$8/0.1, IF(ISNUMBER(SEARCH("Low",AO1)), $AO$8/0.025, "No"))</f>
        <v>No</v>
      </c>
      <c r="AP31" s="5" t="str">
        <f>IF(ISNUMBER(SEARCH("High",AP1)), $AP$8/0.1, IF(ISNUMBER(SEARCH("Low",AP1)), $AP$8/0.025, "No"))</f>
        <v>No</v>
      </c>
      <c r="AQ31" s="5" t="str">
        <f>IF(ISNUMBER(SEARCH("High",AQ1)), $AQ$8/0.1, IF(ISNUMBER(SEARCH("Low",AQ1)), $AQ$8/0.025, "No"))</f>
        <v>No</v>
      </c>
      <c r="AR31" s="5" t="str">
        <f>IF(ISNUMBER(SEARCH("High",AR1)), $AR$8/0.1, IF(ISNUMBER(SEARCH("Low",AR1)), $AR$8/0.025, "No"))</f>
        <v>No</v>
      </c>
      <c r="AS31" s="5" t="str">
        <f>IF(ISNUMBER(SEARCH("High",AS1)), $AS$8/0.1, IF(ISNUMBER(SEARCH("Low",AS1)), $AS$8/0.025, "No"))</f>
        <v>No</v>
      </c>
      <c r="AT31" s="5" t="str">
        <f>IF(ISNUMBER(SEARCH("High",AT1)), $AT$8/0.1, IF(ISNUMBER(SEARCH("Low",AT1)), $AT$8/0.025, "No"))</f>
        <v>No</v>
      </c>
      <c r="AU31" s="5">
        <f>IF(ISNUMBER(SEARCH("High",AU1)), $AU$8/0.1, IF(ISNUMBER(SEARCH("Low",AU1)), $AU$8/0.025, "No"))</f>
        <v>7.6219999999999994E-3</v>
      </c>
      <c r="AV31" s="5">
        <f>IF(ISNUMBER(SEARCH("High",AV1)), $AV$8/0.1, IF(ISNUMBER(SEARCH("Low",AV1)), $AV$8/0.025, "No"))</f>
        <v>1.0859999999999999</v>
      </c>
    </row>
    <row r="32" spans="1:48" x14ac:dyDescent="0.2">
      <c r="A32" t="str">
        <f>$A$9</f>
        <v>5.30</v>
      </c>
      <c r="B32" t="str">
        <f>$B$9</f>
        <v>THCVA</v>
      </c>
      <c r="C32" t="str">
        <f>$C$9</f>
        <v>Compou
nd
Amount</v>
      </c>
      <c r="D32" s="5">
        <f>IF(ISNUMBER(SEARCH("High",D1)), $D$9/0.1, IF(ISNUMBER(SEARCH("Low",D1)), $D$9/0.025, "No"))</f>
        <v>0</v>
      </c>
      <c r="E32" s="5">
        <f>IF(ISNUMBER(SEARCH("High",E1)), $E$9/0.1, IF(ISNUMBER(SEARCH("Low",E1)), $E$9/0.025, "No"))</f>
        <v>1.1099999999999999</v>
      </c>
      <c r="F32" s="5" t="str">
        <f>IF(ISNUMBER(SEARCH("High",F1)), $F$9/0.1, IF(ISNUMBER(SEARCH("Low",F1)), $F$9/0.025, "No"))</f>
        <v>No</v>
      </c>
      <c r="G32" s="5" t="str">
        <f>IF(ISNUMBER(SEARCH("High",G1)), $G$9/0.1, IF(ISNUMBER(SEARCH("Low",G1)), $G$9/0.025, "No"))</f>
        <v>No</v>
      </c>
      <c r="H32" s="5" t="str">
        <f>IF(ISNUMBER(SEARCH("High",H1)), $H$9/0.1, IF(ISNUMBER(SEARCH("Low",H1)), $H$9/0.025, "No"))</f>
        <v>No</v>
      </c>
      <c r="I32" s="5" t="str">
        <f>IF(ISNUMBER(SEARCH("High",I1)), $I$9/0.1, IF(ISNUMBER(SEARCH("Low",I1)), $I$9/0.025, "No"))</f>
        <v>No</v>
      </c>
      <c r="J32" s="5" t="str">
        <f>IF(ISNUMBER(SEARCH("High",J1)), $J$9/0.1, IF(ISNUMBER(SEARCH("Low",J1)), $J$9/0.025, "No"))</f>
        <v>No</v>
      </c>
      <c r="K32" s="5" t="str">
        <f>IF(ISNUMBER(SEARCH("High",K1)), $K$9/0.1, IF(ISNUMBER(SEARCH("Low",K1)), $K$9/0.025, "No"))</f>
        <v>No</v>
      </c>
      <c r="L32" s="5" t="str">
        <f>IF(ISNUMBER(SEARCH("High",L1)), $L$9/0.1, IF(ISNUMBER(SEARCH("Low",L1)), $L$9/0.025, "No"))</f>
        <v>No</v>
      </c>
      <c r="M32" s="5" t="str">
        <f>IF(ISNUMBER(SEARCH("High",M1)), $M$9/0.1, IF(ISNUMBER(SEARCH("Low",M1)), $M$9/0.025, "No"))</f>
        <v>No</v>
      </c>
      <c r="N32" s="5" t="str">
        <f>IF(ISNUMBER(SEARCH("High",N1)), $N$9/0.1, IF(ISNUMBER(SEARCH("Low",N1)), $N$9/0.025, "No"))</f>
        <v>No</v>
      </c>
      <c r="O32" s="5" t="str">
        <f>IF(ISNUMBER(SEARCH("High",O1)), $O$9/0.1, IF(ISNUMBER(SEARCH("Low",O1)), $O$9/0.025, "No"))</f>
        <v>No</v>
      </c>
      <c r="P32" s="5" t="str">
        <f>IF(ISNUMBER(SEARCH("High",P1)), $P$9/0.1, IF(ISNUMBER(SEARCH("Low",P1)), $P$9/0.025, "No"))</f>
        <v>No</v>
      </c>
      <c r="Q32" s="5" t="str">
        <f>IF(ISNUMBER(SEARCH("High",Q1)), $Q$9/0.1, IF(ISNUMBER(SEARCH("Low",Q1)), $Q$9/0.025, "No"))</f>
        <v>No</v>
      </c>
      <c r="R32" s="5">
        <f>IF(ISNUMBER(SEARCH("High",R1)), $R$9/0.1, IF(ISNUMBER(SEARCH("Low",R1)), $R$9/0.025, "No"))</f>
        <v>1.0891999999999999</v>
      </c>
      <c r="S32" s="5" t="str">
        <f>IF(ISNUMBER(SEARCH("High",S1)), $S$9/0.1, IF(ISNUMBER(SEARCH("Low",S1)), $S$9/0.025, "No"))</f>
        <v>No</v>
      </c>
      <c r="T32" s="5" t="str">
        <f>IF(ISNUMBER(SEARCH("High",T1)), $T$9/0.1, IF(ISNUMBER(SEARCH("Low",T1)), $T$9/0.025, "No"))</f>
        <v>No</v>
      </c>
      <c r="U32" s="5" t="str">
        <f>IF(ISNUMBER(SEARCH("High",U1)), $U$9/0.1, IF(ISNUMBER(SEARCH("Low",U1)), $U$9/0.025, "No"))</f>
        <v>No</v>
      </c>
      <c r="V32" s="5" t="str">
        <f>IF(ISNUMBER(SEARCH("High",V1)), $V$9/0.1, IF(ISNUMBER(SEARCH("Low",V1)), $V$9/0.025, "No"))</f>
        <v>No</v>
      </c>
      <c r="W32" s="5" t="str">
        <f>IF(ISNUMBER(SEARCH("High",W1)), $W$9/0.1, IF(ISNUMBER(SEARCH("Low",W1)), $W$9/0.025, "No"))</f>
        <v>No</v>
      </c>
      <c r="X32" s="5" t="str">
        <f>IF(ISNUMBER(SEARCH("High",X1)), $X$9/0.1, IF(ISNUMBER(SEARCH("Low",X1)), $X$9/0.025, "No"))</f>
        <v>No</v>
      </c>
      <c r="Y32" s="5" t="str">
        <f>IF(ISNUMBER(SEARCH("High",Y1)), $Y$9/0.1, IF(ISNUMBER(SEARCH("Low",Y1)), $Y$9/0.025, "No"))</f>
        <v>No</v>
      </c>
      <c r="Z32" s="5" t="str">
        <f>IF(ISNUMBER(SEARCH("High",Z1)), $Z$9/0.1, IF(ISNUMBER(SEARCH("Low",Z1)), $Z$9/0.025, "No"))</f>
        <v>No</v>
      </c>
      <c r="AA32" s="5">
        <f>IF(ISNUMBER(SEARCH("High",AA1)), $AA$9/0.1, IF(ISNUMBER(SEARCH("Low",AA1)), $AA$9/0.025, "No"))</f>
        <v>0</v>
      </c>
      <c r="AB32" s="5">
        <f>IF(ISNUMBER(SEARCH("High",AB1)), $AB$9/0.1, IF(ISNUMBER(SEARCH("Low",AB1)), $AB$9/0.025, "No"))</f>
        <v>1.0715999999999999</v>
      </c>
      <c r="AC32" s="5" t="str">
        <f>IF(ISNUMBER(SEARCH("High",AC1)), $AC$9/0.1, IF(ISNUMBER(SEARCH("Low",AC1)), $AC$9/0.025, "No"))</f>
        <v>No</v>
      </c>
      <c r="AD32" s="5" t="str">
        <f>IF(ISNUMBER(SEARCH("High",AD1)), $AD$9/0.1, IF(ISNUMBER(SEARCH("Low",AD1)), $AD$9/0.025, "No"))</f>
        <v>No</v>
      </c>
      <c r="AE32" s="5" t="str">
        <f>IF(ISNUMBER(SEARCH("High",AE1)), $AE$9/0.1, IF(ISNUMBER(SEARCH("Low",AE1)), $AE$9/0.025, "No"))</f>
        <v>No</v>
      </c>
      <c r="AF32" s="5" t="str">
        <f>IF(ISNUMBER(SEARCH("High",AF1)), $AF$9/0.1, IF(ISNUMBER(SEARCH("Low",AF1)), $AF$9/0.025, "No"))</f>
        <v>No</v>
      </c>
      <c r="AG32" s="5" t="str">
        <f>IF(ISNUMBER(SEARCH("High",AG1)), $AG$9/0.1, IF(ISNUMBER(SEARCH("Low",AG1)), $AG$9/0.025, "No"))</f>
        <v>No</v>
      </c>
      <c r="AH32" s="5" t="str">
        <f>IF(ISNUMBER(SEARCH("High",AH1)), $AH$9/0.1, IF(ISNUMBER(SEARCH("Low",AH1)), $AH$9/0.025, "No"))</f>
        <v>No</v>
      </c>
      <c r="AI32" s="5" t="str">
        <f>IF(ISNUMBER(SEARCH("High",AI1)), $AI$9/0.1, IF(ISNUMBER(SEARCH("Low",AI1)), $AI$9/0.025, "No"))</f>
        <v>No</v>
      </c>
      <c r="AJ32" s="5" t="str">
        <f>IF(ISNUMBER(SEARCH("High",AJ1)), $AJ$9/0.1, IF(ISNUMBER(SEARCH("Low",AJ1)), $AJ$9/0.025, "No"))</f>
        <v>No</v>
      </c>
      <c r="AK32" s="5" t="str">
        <f>IF(ISNUMBER(SEARCH("High",AK1)), $AK$9/0.1, IF(ISNUMBER(SEARCH("Low",AK1)), $AK$9/0.025, "No"))</f>
        <v>No</v>
      </c>
      <c r="AL32" s="5" t="str">
        <f>IF(ISNUMBER(SEARCH("High",AL1)), $AL$9/0.1, IF(ISNUMBER(SEARCH("Low",AL1)), $AL$9/0.025, "No"))</f>
        <v>No</v>
      </c>
      <c r="AM32" s="5">
        <f>IF(ISNUMBER(SEARCH("High",AM1)), $AM$9/0.1, IF(ISNUMBER(SEARCH("Low",AM1)), $AM$9/0.025, "No"))</f>
        <v>4.8789999999999997E-3</v>
      </c>
      <c r="AN32" s="5">
        <f>IF(ISNUMBER(SEARCH("High",AN1)), $AN$9/0.1, IF(ISNUMBER(SEARCH("Low",AN1)), $AN$9/0.025, "No"))</f>
        <v>1.0664</v>
      </c>
      <c r="AO32" s="5" t="str">
        <f>IF(ISNUMBER(SEARCH("High",AO1)), $AO$9/0.1, IF(ISNUMBER(SEARCH("Low",AO1)), $AO$9/0.025, "No"))</f>
        <v>No</v>
      </c>
      <c r="AP32" s="5" t="str">
        <f>IF(ISNUMBER(SEARCH("High",AP1)), $AP$9/0.1, IF(ISNUMBER(SEARCH("Low",AP1)), $AP$9/0.025, "No"))</f>
        <v>No</v>
      </c>
      <c r="AQ32" s="5" t="str">
        <f>IF(ISNUMBER(SEARCH("High",AQ1)), $AQ$9/0.1, IF(ISNUMBER(SEARCH("Low",AQ1)), $AQ$9/0.025, "No"))</f>
        <v>No</v>
      </c>
      <c r="AR32" s="5" t="str">
        <f>IF(ISNUMBER(SEARCH("High",AR1)), $AR$9/0.1, IF(ISNUMBER(SEARCH("Low",AR1)), $AR$9/0.025, "No"))</f>
        <v>No</v>
      </c>
      <c r="AS32" s="5" t="str">
        <f>IF(ISNUMBER(SEARCH("High",AS1)), $AS$9/0.1, IF(ISNUMBER(SEARCH("Low",AS1)), $AS$9/0.025, "No"))</f>
        <v>No</v>
      </c>
      <c r="AT32" s="5" t="str">
        <f>IF(ISNUMBER(SEARCH("High",AT1)), $AT$9/0.1, IF(ISNUMBER(SEARCH("Low",AT1)), $AT$9/0.025, "No"))</f>
        <v>No</v>
      </c>
      <c r="AU32" s="5">
        <f>IF(ISNUMBER(SEARCH("High",AU1)), $AU$9/0.1, IF(ISNUMBER(SEARCH("Low",AU1)), $AU$9/0.025, "No"))</f>
        <v>5.1359999999999999E-3</v>
      </c>
      <c r="AV32" s="5">
        <f>IF(ISNUMBER(SEARCH("High",AV1)), $AV$9/0.1, IF(ISNUMBER(SEARCH("Low",AV1)), $AV$9/0.025, "No"))</f>
        <v>1.0664</v>
      </c>
    </row>
    <row r="33" spans="1:48" x14ac:dyDescent="0.2">
      <c r="A33" t="str">
        <f>$A$10</f>
        <v>5.56</v>
      </c>
      <c r="B33" t="str">
        <f>$B$10</f>
        <v>CBCV</v>
      </c>
      <c r="C33" t="str">
        <f>$C$10</f>
        <v>Compou
nd
Amount</v>
      </c>
      <c r="D33" s="5">
        <f>IF(ISNUMBER(SEARCH("High",D1)), $D$10/0.1, IF(ISNUMBER(SEARCH("Low",D1)), $D$10/0.025, "No"))</f>
        <v>0</v>
      </c>
      <c r="E33" s="5">
        <f>IF(ISNUMBER(SEARCH("High",E1)), $E$10/0.1, IF(ISNUMBER(SEARCH("Low",E1)), $E$10/0.025, "No"))</f>
        <v>1.1315999999999999</v>
      </c>
      <c r="F33" s="5" t="str">
        <f>IF(ISNUMBER(SEARCH("High",F1)), $F$10/0.1, IF(ISNUMBER(SEARCH("Low",F1)), $F$10/0.025, "No"))</f>
        <v>No</v>
      </c>
      <c r="G33" s="5" t="str">
        <f>IF(ISNUMBER(SEARCH("High",G1)), $G$10/0.1, IF(ISNUMBER(SEARCH("Low",G1)), $G$10/0.025, "No"))</f>
        <v>No</v>
      </c>
      <c r="H33" s="5" t="str">
        <f>IF(ISNUMBER(SEARCH("High",H1)), $H$10/0.1, IF(ISNUMBER(SEARCH("Low",H1)), $H$10/0.025, "No"))</f>
        <v>No</v>
      </c>
      <c r="I33" s="5" t="str">
        <f>IF(ISNUMBER(SEARCH("High",I1)), $I$10/0.1, IF(ISNUMBER(SEARCH("Low",I1)), $I$10/0.025, "No"))</f>
        <v>No</v>
      </c>
      <c r="J33" s="5" t="str">
        <f>IF(ISNUMBER(SEARCH("High",J1)), $J$10/0.1, IF(ISNUMBER(SEARCH("Low",J1)), $J$10/0.025, "No"))</f>
        <v>No</v>
      </c>
      <c r="K33" s="5" t="str">
        <f>IF(ISNUMBER(SEARCH("High",K1)), $K$10/0.1, IF(ISNUMBER(SEARCH("Low",K1)), $K$10/0.025, "No"))</f>
        <v>No</v>
      </c>
      <c r="L33" s="5" t="str">
        <f>IF(ISNUMBER(SEARCH("High",L1)), $L$10/0.1, IF(ISNUMBER(SEARCH("Low",L1)), $L$10/0.025, "No"))</f>
        <v>No</v>
      </c>
      <c r="M33" s="5" t="str">
        <f>IF(ISNUMBER(SEARCH("High",M1)), $M$10/0.1, IF(ISNUMBER(SEARCH("Low",M1)), $M$10/0.025, "No"))</f>
        <v>No</v>
      </c>
      <c r="N33" s="5" t="str">
        <f>IF(ISNUMBER(SEARCH("High",N1)), $N$10/0.1, IF(ISNUMBER(SEARCH("Low",N1)), $N$10/0.025, "No"))</f>
        <v>No</v>
      </c>
      <c r="O33" s="5" t="str">
        <f>IF(ISNUMBER(SEARCH("High",O1)), $O$10/0.1, IF(ISNUMBER(SEARCH("Low",O1)), $O$10/0.025, "No"))</f>
        <v>No</v>
      </c>
      <c r="P33" s="5" t="str">
        <f>IF(ISNUMBER(SEARCH("High",P1)), $P$10/0.1, IF(ISNUMBER(SEARCH("Low",P1)), $P$10/0.025, "No"))</f>
        <v>No</v>
      </c>
      <c r="Q33" s="5" t="str">
        <f>IF(ISNUMBER(SEARCH("High",Q1)), $Q$10/0.1, IF(ISNUMBER(SEARCH("Low",Q1)), $Q$10/0.025, "No"))</f>
        <v>No</v>
      </c>
      <c r="R33" s="5">
        <f>IF(ISNUMBER(SEARCH("High",R1)), $R$10/0.1, IF(ISNUMBER(SEARCH("Low",R1)), $R$10/0.025, "No"))</f>
        <v>1.1168</v>
      </c>
      <c r="S33" s="5" t="str">
        <f>IF(ISNUMBER(SEARCH("High",S1)), $S$10/0.1, IF(ISNUMBER(SEARCH("Low",S1)), $S$10/0.025, "No"))</f>
        <v>No</v>
      </c>
      <c r="T33" s="5" t="str">
        <f>IF(ISNUMBER(SEARCH("High",T1)), $T$10/0.1, IF(ISNUMBER(SEARCH("Low",T1)), $T$10/0.025, "No"))</f>
        <v>No</v>
      </c>
      <c r="U33" s="5" t="str">
        <f>IF(ISNUMBER(SEARCH("High",U1)), $U$10/0.1, IF(ISNUMBER(SEARCH("Low",U1)), $U$10/0.025, "No"))</f>
        <v>No</v>
      </c>
      <c r="V33" s="5" t="str">
        <f>IF(ISNUMBER(SEARCH("High",V1)), $V$10/0.1, IF(ISNUMBER(SEARCH("Low",V1)), $V$10/0.025, "No"))</f>
        <v>No</v>
      </c>
      <c r="W33" s="5" t="str">
        <f>IF(ISNUMBER(SEARCH("High",W1)), $W$10/0.1, IF(ISNUMBER(SEARCH("Low",W1)), $W$10/0.025, "No"))</f>
        <v>No</v>
      </c>
      <c r="X33" s="5" t="str">
        <f>IF(ISNUMBER(SEARCH("High",X1)), $X$10/0.1, IF(ISNUMBER(SEARCH("Low",X1)), $X$10/0.025, "No"))</f>
        <v>No</v>
      </c>
      <c r="Y33" s="5" t="str">
        <f>IF(ISNUMBER(SEARCH("High",Y1)), $Y$10/0.1, IF(ISNUMBER(SEARCH("Low",Y1)), $Y$10/0.025, "No"))</f>
        <v>No</v>
      </c>
      <c r="Z33" s="5" t="str">
        <f>IF(ISNUMBER(SEARCH("High",Z1)), $Z$10/0.1, IF(ISNUMBER(SEARCH("Low",Z1)), $Z$10/0.025, "No"))</f>
        <v>No</v>
      </c>
      <c r="AA33" s="5">
        <f>IF(ISNUMBER(SEARCH("High",AA1)), $AA$10/0.1, IF(ISNUMBER(SEARCH("Low",AA1)), $AA$10/0.025, "No"))</f>
        <v>0</v>
      </c>
      <c r="AB33" s="5">
        <f>IF(ISNUMBER(SEARCH("High",AB1)), $AB$10/0.1, IF(ISNUMBER(SEARCH("Low",AB1)), $AB$10/0.025, "No"))</f>
        <v>1.1072</v>
      </c>
      <c r="AC33" s="5" t="str">
        <f>IF(ISNUMBER(SEARCH("High",AC1)), $AC$10/0.1, IF(ISNUMBER(SEARCH("Low",AC1)), $AC$10/0.025, "No"))</f>
        <v>No</v>
      </c>
      <c r="AD33" s="5" t="str">
        <f>IF(ISNUMBER(SEARCH("High",AD1)), $AD$10/0.1, IF(ISNUMBER(SEARCH("Low",AD1)), $AD$10/0.025, "No"))</f>
        <v>No</v>
      </c>
      <c r="AE33" s="5" t="str">
        <f>IF(ISNUMBER(SEARCH("High",AE1)), $AE$10/0.1, IF(ISNUMBER(SEARCH("Low",AE1)), $AE$10/0.025, "No"))</f>
        <v>No</v>
      </c>
      <c r="AF33" s="5" t="str">
        <f>IF(ISNUMBER(SEARCH("High",AF1)), $AF$10/0.1, IF(ISNUMBER(SEARCH("Low",AF1)), $AF$10/0.025, "No"))</f>
        <v>No</v>
      </c>
      <c r="AG33" s="5" t="str">
        <f>IF(ISNUMBER(SEARCH("High",AG1)), $AG$10/0.1, IF(ISNUMBER(SEARCH("Low",AG1)), $AG$10/0.025, "No"))</f>
        <v>No</v>
      </c>
      <c r="AH33" s="5" t="str">
        <f>IF(ISNUMBER(SEARCH("High",AH1)), $AH$10/0.1, IF(ISNUMBER(SEARCH("Low",AH1)), $AH$10/0.025, "No"))</f>
        <v>No</v>
      </c>
      <c r="AI33" s="5" t="str">
        <f>IF(ISNUMBER(SEARCH("High",AI1)), $AI$10/0.1, IF(ISNUMBER(SEARCH("Low",AI1)), $AI$10/0.025, "No"))</f>
        <v>No</v>
      </c>
      <c r="AJ33" s="5" t="str">
        <f>IF(ISNUMBER(SEARCH("High",AJ1)), $AJ$10/0.1, IF(ISNUMBER(SEARCH("Low",AJ1)), $AJ$10/0.025, "No"))</f>
        <v>No</v>
      </c>
      <c r="AK33" s="5" t="str">
        <f>IF(ISNUMBER(SEARCH("High",AK1)), $AK$10/0.1, IF(ISNUMBER(SEARCH("Low",AK1)), $AK$10/0.025, "No"))</f>
        <v>No</v>
      </c>
      <c r="AL33" s="5" t="str">
        <f>IF(ISNUMBER(SEARCH("High",AL1)), $AL$10/0.1, IF(ISNUMBER(SEARCH("Low",AL1)), $AL$10/0.025, "No"))</f>
        <v>No</v>
      </c>
      <c r="AM33" s="5">
        <f>IF(ISNUMBER(SEARCH("High",AM1)), $AM$10/0.1, IF(ISNUMBER(SEARCH("Low",AM1)), $AM$10/0.025, "No"))</f>
        <v>0</v>
      </c>
      <c r="AN33" s="5">
        <f>IF(ISNUMBER(SEARCH("High",AN1)), $AN$10/0.1, IF(ISNUMBER(SEARCH("Low",AN1)), $AN$10/0.025, "No"))</f>
        <v>1.1039999999999999</v>
      </c>
      <c r="AO33" s="5" t="str">
        <f>IF(ISNUMBER(SEARCH("High",AO1)), $AO$10/0.1, IF(ISNUMBER(SEARCH("Low",AO1)), $AO$10/0.025, "No"))</f>
        <v>No</v>
      </c>
      <c r="AP33" s="5" t="str">
        <f>IF(ISNUMBER(SEARCH("High",AP1)), $AP$10/0.1, IF(ISNUMBER(SEARCH("Low",AP1)), $AP$10/0.025, "No"))</f>
        <v>No</v>
      </c>
      <c r="AQ33" s="5" t="str">
        <f>IF(ISNUMBER(SEARCH("High",AQ1)), $AQ$10/0.1, IF(ISNUMBER(SEARCH("Low",AQ1)), $AQ$10/0.025, "No"))</f>
        <v>No</v>
      </c>
      <c r="AR33" s="5" t="str">
        <f>IF(ISNUMBER(SEARCH("High",AR1)), $AR$10/0.1, IF(ISNUMBER(SEARCH("Low",AR1)), $AR$10/0.025, "No"))</f>
        <v>No</v>
      </c>
      <c r="AS33" s="5" t="str">
        <f>IF(ISNUMBER(SEARCH("High",AS1)), $AS$10/0.1, IF(ISNUMBER(SEARCH("Low",AS1)), $AS$10/0.025, "No"))</f>
        <v>No</v>
      </c>
      <c r="AT33" s="5" t="str">
        <f>IF(ISNUMBER(SEARCH("High",AT1)), $AT$10/0.1, IF(ISNUMBER(SEARCH("Low",AT1)), $AT$10/0.025, "No"))</f>
        <v>No</v>
      </c>
      <c r="AU33" s="5">
        <f>IF(ISNUMBER(SEARCH("High",AU1)), $AU$10/0.1, IF(ISNUMBER(SEARCH("Low",AU1)), $AU$10/0.025, "No"))</f>
        <v>0</v>
      </c>
      <c r="AV33" s="5">
        <f>IF(ISNUMBER(SEARCH("High",AV1)), $AV$10/0.1, IF(ISNUMBER(SEARCH("Low",AV1)), $AV$10/0.025, "No"))</f>
        <v>1.1059999999999999</v>
      </c>
    </row>
    <row r="34" spans="1:48" x14ac:dyDescent="0.2">
      <c r="A34" t="str">
        <f>$A$11</f>
        <v>6.11</v>
      </c>
      <c r="B34" t="str">
        <f>$B$11</f>
        <v>CBN</v>
      </c>
      <c r="C34" t="str">
        <f>$C$11</f>
        <v>Compou
nd
Amount</v>
      </c>
      <c r="D34" s="5">
        <f>IF(ISNUMBER(SEARCH("High",D1)), $D$11/0.1, IF(ISNUMBER(SEARCH("Low",D1)), $D$11/0.025, "No"))</f>
        <v>0.95669999999999999</v>
      </c>
      <c r="E34" s="5">
        <f>IF(ISNUMBER(SEARCH("High",E1)), $E$11/0.1, IF(ISNUMBER(SEARCH("Low",E1)), $E$11/0.025, "No"))</f>
        <v>1.0924</v>
      </c>
      <c r="F34" s="5" t="str">
        <f>IF(ISNUMBER(SEARCH("High",F1)), $F$11/0.1, IF(ISNUMBER(SEARCH("Low",F1)), $F$11/0.025, "No"))</f>
        <v>No</v>
      </c>
      <c r="G34" s="5" t="str">
        <f>IF(ISNUMBER(SEARCH("High",G1)), $G$11/0.1, IF(ISNUMBER(SEARCH("Low",G1)), $G$11/0.025, "No"))</f>
        <v>No</v>
      </c>
      <c r="H34" s="5" t="str">
        <f>IF(ISNUMBER(SEARCH("High",H1)), $H$11/0.1, IF(ISNUMBER(SEARCH("Low",H1)), $H$11/0.025, "No"))</f>
        <v>No</v>
      </c>
      <c r="I34" s="5" t="str">
        <f>IF(ISNUMBER(SEARCH("High",I1)), $I$11/0.1, IF(ISNUMBER(SEARCH("Low",I1)), $I$11/0.025, "No"))</f>
        <v>No</v>
      </c>
      <c r="J34" s="5" t="str">
        <f>IF(ISNUMBER(SEARCH("High",J1)), $J$11/0.1, IF(ISNUMBER(SEARCH("Low",J1)), $J$11/0.025, "No"))</f>
        <v>No</v>
      </c>
      <c r="K34" s="5" t="str">
        <f>IF(ISNUMBER(SEARCH("High",K1)), $K$11/0.1, IF(ISNUMBER(SEARCH("Low",K1)), $K$11/0.025, "No"))</f>
        <v>No</v>
      </c>
      <c r="L34" s="5" t="str">
        <f>IF(ISNUMBER(SEARCH("High",L1)), $L$11/0.1, IF(ISNUMBER(SEARCH("Low",L1)), $L$11/0.025, "No"))</f>
        <v>No</v>
      </c>
      <c r="M34" s="5" t="str">
        <f>IF(ISNUMBER(SEARCH("High",M1)), $M$11/0.1, IF(ISNUMBER(SEARCH("Low",M1)), $M$11/0.025, "No"))</f>
        <v>No</v>
      </c>
      <c r="N34" s="5" t="str">
        <f>IF(ISNUMBER(SEARCH("High",N1)), $N$11/0.1, IF(ISNUMBER(SEARCH("Low",N1)), $N$11/0.025, "No"))</f>
        <v>No</v>
      </c>
      <c r="O34" s="5" t="str">
        <f>IF(ISNUMBER(SEARCH("High",O1)), $O$11/0.1, IF(ISNUMBER(SEARCH("Low",O1)), $O$11/0.025, "No"))</f>
        <v>No</v>
      </c>
      <c r="P34" s="5" t="str">
        <f>IF(ISNUMBER(SEARCH("High",P1)), $P$11/0.1, IF(ISNUMBER(SEARCH("Low",P1)), $P$11/0.025, "No"))</f>
        <v>No</v>
      </c>
      <c r="Q34" s="5" t="str">
        <f>IF(ISNUMBER(SEARCH("High",Q1)), $Q$11/0.1, IF(ISNUMBER(SEARCH("Low",Q1)), $Q$11/0.025, "No"))</f>
        <v>No</v>
      </c>
      <c r="R34" s="5">
        <f>IF(ISNUMBER(SEARCH("High",R1)), $R$11/0.1, IF(ISNUMBER(SEARCH("Low",R1)), $R$11/0.025, "No"))</f>
        <v>1.0791999999999999</v>
      </c>
      <c r="S34" s="5" t="str">
        <f>IF(ISNUMBER(SEARCH("High",S1)), $S$11/0.1, IF(ISNUMBER(SEARCH("Low",S1)), $S$11/0.025, "No"))</f>
        <v>No</v>
      </c>
      <c r="T34" s="5" t="str">
        <f>IF(ISNUMBER(SEARCH("High",T1)), $T$11/0.1, IF(ISNUMBER(SEARCH("Low",T1)), $T$11/0.025, "No"))</f>
        <v>No</v>
      </c>
      <c r="U34" s="5" t="str">
        <f>IF(ISNUMBER(SEARCH("High",U1)), $U$11/0.1, IF(ISNUMBER(SEARCH("Low",U1)), $U$11/0.025, "No"))</f>
        <v>No</v>
      </c>
      <c r="V34" s="5" t="str">
        <f>IF(ISNUMBER(SEARCH("High",V1)), $V$11/0.1, IF(ISNUMBER(SEARCH("Low",V1)), $V$11/0.025, "No"))</f>
        <v>No</v>
      </c>
      <c r="W34" s="5" t="str">
        <f>IF(ISNUMBER(SEARCH("High",W1)), $W$11/0.1, IF(ISNUMBER(SEARCH("Low",W1)), $W$11/0.025, "No"))</f>
        <v>No</v>
      </c>
      <c r="X34" s="5" t="str">
        <f>IF(ISNUMBER(SEARCH("High",X1)), $X$11/0.1, IF(ISNUMBER(SEARCH("Low",X1)), $X$11/0.025, "No"))</f>
        <v>No</v>
      </c>
      <c r="Y34" s="5" t="str">
        <f>IF(ISNUMBER(SEARCH("High",Y1)), $Y$11/0.1, IF(ISNUMBER(SEARCH("Low",Y1)), $Y$11/0.025, "No"))</f>
        <v>No</v>
      </c>
      <c r="Z34" s="5" t="str">
        <f>IF(ISNUMBER(SEARCH("High",Z1)), $Z$11/0.1, IF(ISNUMBER(SEARCH("Low",Z1)), $Z$11/0.025, "No"))</f>
        <v>No</v>
      </c>
      <c r="AA34" s="5">
        <f>IF(ISNUMBER(SEARCH("High",AA1)), $AA$11/0.1, IF(ISNUMBER(SEARCH("Low",AA1)), $AA$11/0.025, "No"))</f>
        <v>0.9375</v>
      </c>
      <c r="AB34" s="5">
        <f>IF(ISNUMBER(SEARCH("High",AB1)), $AB$11/0.1, IF(ISNUMBER(SEARCH("Low",AB1)), $AB$11/0.025, "No"))</f>
        <v>1.0703999999999998</v>
      </c>
      <c r="AC34" s="5" t="str">
        <f>IF(ISNUMBER(SEARCH("High",AC1)), $AC$11/0.1, IF(ISNUMBER(SEARCH("Low",AC1)), $AC$11/0.025, "No"))</f>
        <v>No</v>
      </c>
      <c r="AD34" s="5" t="str">
        <f>IF(ISNUMBER(SEARCH("High",AD1)), $AD$11/0.1, IF(ISNUMBER(SEARCH("Low",AD1)), $AD$11/0.025, "No"))</f>
        <v>No</v>
      </c>
      <c r="AE34" s="5" t="str">
        <f>IF(ISNUMBER(SEARCH("High",AE1)), $AE$11/0.1, IF(ISNUMBER(SEARCH("Low",AE1)), $AE$11/0.025, "No"))</f>
        <v>No</v>
      </c>
      <c r="AF34" s="5" t="str">
        <f>IF(ISNUMBER(SEARCH("High",AF1)), $AF$11/0.1, IF(ISNUMBER(SEARCH("Low",AF1)), $AF$11/0.025, "No"))</f>
        <v>No</v>
      </c>
      <c r="AG34" s="5" t="str">
        <f>IF(ISNUMBER(SEARCH("High",AG1)), $AG$11/0.1, IF(ISNUMBER(SEARCH("Low",AG1)), $AG$11/0.025, "No"))</f>
        <v>No</v>
      </c>
      <c r="AH34" s="5" t="str">
        <f>IF(ISNUMBER(SEARCH("High",AH1)), $AH$11/0.1, IF(ISNUMBER(SEARCH("Low",AH1)), $AH$11/0.025, "No"))</f>
        <v>No</v>
      </c>
      <c r="AI34" s="5" t="str">
        <f>IF(ISNUMBER(SEARCH("High",AI1)), $AI$11/0.1, IF(ISNUMBER(SEARCH("Low",AI1)), $AI$11/0.025, "No"))</f>
        <v>No</v>
      </c>
      <c r="AJ34" s="5" t="str">
        <f>IF(ISNUMBER(SEARCH("High",AJ1)), $AJ$11/0.1, IF(ISNUMBER(SEARCH("Low",AJ1)), $AJ$11/0.025, "No"))</f>
        <v>No</v>
      </c>
      <c r="AK34" s="5" t="str">
        <f>IF(ISNUMBER(SEARCH("High",AK1)), $AK$11/0.1, IF(ISNUMBER(SEARCH("Low",AK1)), $AK$11/0.025, "No"))</f>
        <v>No</v>
      </c>
      <c r="AL34" s="5" t="str">
        <f>IF(ISNUMBER(SEARCH("High",AL1)), $AL$11/0.1, IF(ISNUMBER(SEARCH("Low",AL1)), $AL$11/0.025, "No"))</f>
        <v>No</v>
      </c>
      <c r="AM34" s="5">
        <f>IF(ISNUMBER(SEARCH("High",AM1)), $AM$11/0.1, IF(ISNUMBER(SEARCH("Low",AM1)), $AM$11/0.025, "No"))</f>
        <v>0.92569999999999997</v>
      </c>
      <c r="AN34" s="5">
        <f>IF(ISNUMBER(SEARCH("High",AN1)), $AN$11/0.1, IF(ISNUMBER(SEARCH("Low",AN1)), $AN$11/0.025, "No"))</f>
        <v>1.0671999999999999</v>
      </c>
      <c r="AO34" s="5" t="str">
        <f>IF(ISNUMBER(SEARCH("High",AO1)), $AO$11/0.1, IF(ISNUMBER(SEARCH("Low",AO1)), $AO$11/0.025, "No"))</f>
        <v>No</v>
      </c>
      <c r="AP34" s="5" t="str">
        <f>IF(ISNUMBER(SEARCH("High",AP1)), $AP$11/0.1, IF(ISNUMBER(SEARCH("Low",AP1)), $AP$11/0.025, "No"))</f>
        <v>No</v>
      </c>
      <c r="AQ34" s="5" t="str">
        <f>IF(ISNUMBER(SEARCH("High",AQ1)), $AQ$11/0.1, IF(ISNUMBER(SEARCH("Low",AQ1)), $AQ$11/0.025, "No"))</f>
        <v>No</v>
      </c>
      <c r="AR34" s="5" t="str">
        <f>IF(ISNUMBER(SEARCH("High",AR1)), $AR$11/0.1, IF(ISNUMBER(SEARCH("Low",AR1)), $AR$11/0.025, "No"))</f>
        <v>No</v>
      </c>
      <c r="AS34" s="5" t="str">
        <f>IF(ISNUMBER(SEARCH("High",AS1)), $AS$11/0.1, IF(ISNUMBER(SEARCH("Low",AS1)), $AS$11/0.025, "No"))</f>
        <v>No</v>
      </c>
      <c r="AT34" s="5" t="str">
        <f>IF(ISNUMBER(SEARCH("High",AT1)), $AT$11/0.1, IF(ISNUMBER(SEARCH("Low",AT1)), $AT$11/0.025, "No"))</f>
        <v>No</v>
      </c>
      <c r="AU34" s="5">
        <f>IF(ISNUMBER(SEARCH("High",AU1)), $AU$11/0.1, IF(ISNUMBER(SEARCH("Low",AU1)), $AU$11/0.025, "No"))</f>
        <v>0.92530000000000001</v>
      </c>
      <c r="AV34" s="5">
        <f>IF(ISNUMBER(SEARCH("High",AV1)), $AV$11/0.1, IF(ISNUMBER(SEARCH("Low",AV1)), $AV$11/0.025, "No"))</f>
        <v>1.0680000000000001</v>
      </c>
    </row>
    <row r="35" spans="1:48" x14ac:dyDescent="0.2">
      <c r="A35" t="str">
        <f>$A$12</f>
        <v>7.39</v>
      </c>
      <c r="B35" t="str">
        <f>$B$12</f>
        <v>BDTBP</v>
      </c>
      <c r="C35" t="str">
        <f>$C$12</f>
        <v>Compou
nd
Amount</v>
      </c>
      <c r="D35" s="5">
        <f>IF(ISNUMBER(SEARCH("High",D1)), $D$12/0.1, IF(ISNUMBER(SEARCH("Low",D1)), $D$12/0.1, "No"))</f>
        <v>1</v>
      </c>
      <c r="E35" s="5">
        <f>IF(ISNUMBER(SEARCH("High",E1)), $E$12/0.1, IF(ISNUMBER(SEARCH("Low",E1)), $E$12/0.1, "No"))</f>
        <v>1</v>
      </c>
      <c r="F35" s="5" t="str">
        <f>IF(ISNUMBER(SEARCH("High",F1)), $F$12/0.1, IF(ISNUMBER(SEARCH("Low",F1)), $F$12/0.1, "No"))</f>
        <v>No</v>
      </c>
      <c r="G35" s="5" t="str">
        <f>IF(ISNUMBER(SEARCH("High",G1)), $G$12/0.1, IF(ISNUMBER(SEARCH("Low",G1)), $G$12/0.1, "No"))</f>
        <v>No</v>
      </c>
      <c r="H35" s="5" t="str">
        <f>IF(ISNUMBER(SEARCH("High",H1)), $H$12/0.1, IF(ISNUMBER(SEARCH("Low",H1)), $H$12/0.1, "No"))</f>
        <v>No</v>
      </c>
      <c r="I35" s="5" t="str">
        <f>IF(ISNUMBER(SEARCH("High",I1)), $I$12/0.1, IF(ISNUMBER(SEARCH("Low",I1)), $I$12/0.1, "No"))</f>
        <v>No</v>
      </c>
      <c r="J35" s="5" t="str">
        <f>IF(ISNUMBER(SEARCH("High",J1)), $J$12/0.1, IF(ISNUMBER(SEARCH("Low",J1)), $J$12/0.1, "No"))</f>
        <v>No</v>
      </c>
      <c r="K35" s="5" t="str">
        <f>IF(ISNUMBER(SEARCH("High",K1)), $K$12/0.1, IF(ISNUMBER(SEARCH("Low",K1)), $K$12/0.1, "No"))</f>
        <v>No</v>
      </c>
      <c r="L35" s="5" t="str">
        <f>IF(ISNUMBER(SEARCH("High",L1)), $L$12/0.1, IF(ISNUMBER(SEARCH("Low",L1)), $L$12/0.1, "No"))</f>
        <v>No</v>
      </c>
      <c r="M35" s="5" t="str">
        <f>IF(ISNUMBER(SEARCH("High",M1)), $M$12/0.1, IF(ISNUMBER(SEARCH("Low",M1)), $M$12/0.1, "No"))</f>
        <v>No</v>
      </c>
      <c r="N35" s="5" t="str">
        <f>IF(ISNUMBER(SEARCH("High",N1)), $N$12/0.1, IF(ISNUMBER(SEARCH("Low",N1)), $N$12/0.1, "No"))</f>
        <v>No</v>
      </c>
      <c r="O35" s="5" t="str">
        <f>IF(ISNUMBER(SEARCH("High",O1)), $O$12/0.1, IF(ISNUMBER(SEARCH("Low",O1)), $O$12/0.1, "No"))</f>
        <v>No</v>
      </c>
      <c r="P35" s="5" t="str">
        <f>IF(ISNUMBER(SEARCH("High",P1)), $P$12/0.1, IF(ISNUMBER(SEARCH("Low",P1)), $P$12/0.1, "No"))</f>
        <v>No</v>
      </c>
      <c r="Q35" s="5" t="str">
        <f>IF(ISNUMBER(SEARCH("High",Q1)), $Q$12/0.1, IF(ISNUMBER(SEARCH("Low",Q1)), $Q$12/0.1, "No"))</f>
        <v>No</v>
      </c>
      <c r="R35" s="5">
        <f>IF(ISNUMBER(SEARCH("High",R1)), $R$12/0.1, IF(ISNUMBER(SEARCH("Low",R1)), $R$12/0.1, "No"))</f>
        <v>1</v>
      </c>
      <c r="S35" s="5" t="str">
        <f>IF(ISNUMBER(SEARCH("High",S1)), $S$12/0.1, IF(ISNUMBER(SEARCH("Low",S1)), $S$12/0.1, "No"))</f>
        <v>No</v>
      </c>
      <c r="T35" s="5" t="str">
        <f>IF(ISNUMBER(SEARCH("High",T1)), $T$12/0.1, IF(ISNUMBER(SEARCH("Low",T1)), $T$12/0.1, "No"))</f>
        <v>No</v>
      </c>
      <c r="U35" s="5" t="str">
        <f>IF(ISNUMBER(SEARCH("High",U1)), $U$12/0.1, IF(ISNUMBER(SEARCH("Low",U1)), $U$12/0.1, "No"))</f>
        <v>No</v>
      </c>
      <c r="V35" s="5" t="str">
        <f>IF(ISNUMBER(SEARCH("High",V1)), $V$12/0.1, IF(ISNUMBER(SEARCH("Low",V1)), $V$12/0.1, "No"))</f>
        <v>No</v>
      </c>
      <c r="W35" s="5" t="str">
        <f>IF(ISNUMBER(SEARCH("High",W1)), $W$12/0.1, IF(ISNUMBER(SEARCH("Low",W1)), $W$12/0.1, "No"))</f>
        <v>No</v>
      </c>
      <c r="X35" s="5" t="str">
        <f>IF(ISNUMBER(SEARCH("High",X1)), $X$12/0.1, IF(ISNUMBER(SEARCH("Low",X1)), $X$12/0.1, "No"))</f>
        <v>No</v>
      </c>
      <c r="Y35" s="5" t="str">
        <f>IF(ISNUMBER(SEARCH("High",Y1)), $Y$12/0.1, IF(ISNUMBER(SEARCH("Low",Y1)), $Y$12/0.1, "No"))</f>
        <v>No</v>
      </c>
      <c r="Z35" s="5" t="str">
        <f>IF(ISNUMBER(SEARCH("High",Z1)), $Z$12/0.1, IF(ISNUMBER(SEARCH("Low",Z1)), $Z$12/0.1, "No"))</f>
        <v>No</v>
      </c>
      <c r="AA35" s="5">
        <f>IF(ISNUMBER(SEARCH("High",AA1)), $AA$12/0.1, IF(ISNUMBER(SEARCH("Low",AA1)), $AA$12/0.1, "No"))</f>
        <v>1</v>
      </c>
      <c r="AB35" s="5">
        <f>IF(ISNUMBER(SEARCH("High",AB1)), $AB$12/0.1, IF(ISNUMBER(SEARCH("Low",AB1)), $AB$12/0.1, "No"))</f>
        <v>1</v>
      </c>
      <c r="AC35" s="5" t="str">
        <f>IF(ISNUMBER(SEARCH("High",AC1)), $AC$12/0.1, IF(ISNUMBER(SEARCH("Low",AC1)), $AC$12/0.1, "No"))</f>
        <v>No</v>
      </c>
      <c r="AD35" s="5" t="str">
        <f>IF(ISNUMBER(SEARCH("High",AD1)), $AD$12/0.1, IF(ISNUMBER(SEARCH("Low",AD1)), $AD$12/0.1, "No"))</f>
        <v>No</v>
      </c>
      <c r="AE35" s="5" t="str">
        <f>IF(ISNUMBER(SEARCH("High",AE1)), $AE$12/0.1, IF(ISNUMBER(SEARCH("Low",AE1)), $AE$12/0.1, "No"))</f>
        <v>No</v>
      </c>
      <c r="AF35" s="5" t="str">
        <f>IF(ISNUMBER(SEARCH("High",AF1)), $AF$12/0.1, IF(ISNUMBER(SEARCH("Low",AF1)), $AF$12/0.1, "No"))</f>
        <v>No</v>
      </c>
      <c r="AG35" s="5" t="str">
        <f>IF(ISNUMBER(SEARCH("High",AG1)), $AG$12/0.1, IF(ISNUMBER(SEARCH("Low",AG1)), $AG$12/0.1, "No"))</f>
        <v>No</v>
      </c>
      <c r="AH35" s="5" t="str">
        <f>IF(ISNUMBER(SEARCH("High",AH1)), $AH$12/0.1, IF(ISNUMBER(SEARCH("Low",AH1)), $AH$12/0.1, "No"))</f>
        <v>No</v>
      </c>
      <c r="AI35" s="5" t="str">
        <f>IF(ISNUMBER(SEARCH("High",AI1)), $AI$12/0.1, IF(ISNUMBER(SEARCH("Low",AI1)), $AI$12/0.1, "No"))</f>
        <v>No</v>
      </c>
      <c r="AJ35" s="5" t="str">
        <f>IF(ISNUMBER(SEARCH("High",AJ1)), $AJ$12/0.1, IF(ISNUMBER(SEARCH("Low",AJ1)), $AJ$12/0.1, "No"))</f>
        <v>No</v>
      </c>
      <c r="AK35" s="5" t="str">
        <f>IF(ISNUMBER(SEARCH("High",AK1)), $AK$12/0.1, IF(ISNUMBER(SEARCH("Low",AK1)), $AK$12/0.1, "No"))</f>
        <v>No</v>
      </c>
      <c r="AL35" s="5" t="str">
        <f>IF(ISNUMBER(SEARCH("High",AL1)), $AL$12/0.1, IF(ISNUMBER(SEARCH("Low",AL1)), $AL$12/0.1, "No"))</f>
        <v>No</v>
      </c>
      <c r="AM35" s="5">
        <f>IF(ISNUMBER(SEARCH("High",AM1)), $AM$12/0.1, IF(ISNUMBER(SEARCH("Low",AM1)), $AM$12/0.1, "No"))</f>
        <v>1</v>
      </c>
      <c r="AN35" s="5">
        <f>IF(ISNUMBER(SEARCH("High",AN1)), $AN$12/0.1, IF(ISNUMBER(SEARCH("Low",AN1)), $AN$12/0.1, "No"))</f>
        <v>1</v>
      </c>
      <c r="AO35" s="5" t="str">
        <f>IF(ISNUMBER(SEARCH("High",AO1)), $AO$12/0.1, IF(ISNUMBER(SEARCH("Low",AO1)), $AO$12/0.1, "No"))</f>
        <v>No</v>
      </c>
      <c r="AP35" s="5" t="str">
        <f>IF(ISNUMBER(SEARCH("High",AP1)), $AP$12/0.1, IF(ISNUMBER(SEARCH("Low",AP1)), $AP$12/0.1, "No"))</f>
        <v>No</v>
      </c>
      <c r="AQ35" s="5" t="str">
        <f>IF(ISNUMBER(SEARCH("High",AQ1)), $AQ$12/0.1, IF(ISNUMBER(SEARCH("Low",AQ1)), $AQ$12/0.1, "No"))</f>
        <v>No</v>
      </c>
      <c r="AR35" s="5" t="str">
        <f>IF(ISNUMBER(SEARCH("High",AR1)), $AR$12/0.1, IF(ISNUMBER(SEARCH("Low",AR1)), $AR$12/0.1, "No"))</f>
        <v>No</v>
      </c>
      <c r="AS35" s="5" t="str">
        <f>IF(ISNUMBER(SEARCH("High",AS1)), $AS$12/0.1, IF(ISNUMBER(SEARCH("Low",AS1)), $AS$12/0.1, "No"))</f>
        <v>No</v>
      </c>
      <c r="AT35" s="5" t="str">
        <f>IF(ISNUMBER(SEARCH("High",AT1)), $AT$12/0.1, IF(ISNUMBER(SEARCH("Low",AT1)), $AT$12/0.1, "No"))</f>
        <v>No</v>
      </c>
      <c r="AU35" s="5">
        <f>IF(ISNUMBER(SEARCH("High",AU1)), $AU$12/0.1, IF(ISNUMBER(SEARCH("Low",AU1)), $AU$12/0.1, "No"))</f>
        <v>1</v>
      </c>
      <c r="AV35" s="5">
        <f>IF(ISNUMBER(SEARCH("High",AV1)), $AV$12/0.1, IF(ISNUMBER(SEARCH("Low",AV1)), $AV$12/0.1, "No"))</f>
        <v>1</v>
      </c>
    </row>
    <row r="36" spans="1:48" x14ac:dyDescent="0.2">
      <c r="A36" t="str">
        <f>$A$13</f>
        <v>7.68</v>
      </c>
      <c r="B36" t="str">
        <f>$B$13</f>
        <v>D9-THC</v>
      </c>
      <c r="C36" t="str">
        <f>$C$13</f>
        <v>Compou
nd
Amount</v>
      </c>
      <c r="D36" s="5">
        <f>IF(ISNUMBER(SEARCH("High",D1)), $D$13/0.1, IF(ISNUMBER(SEARCH("Low",D1)), $D$13/0.025, "No"))</f>
        <v>0.95079999999999998</v>
      </c>
      <c r="E36" s="5">
        <f>IF(ISNUMBER(SEARCH("High",E1)), $E$13/0.1, IF(ISNUMBER(SEARCH("Low",E1)), $E$13/0.025, "No"))</f>
        <v>1.0908</v>
      </c>
      <c r="F36" s="5" t="str">
        <f>IF(ISNUMBER(SEARCH("High",F1)), $F$13/0.1, IF(ISNUMBER(SEARCH("Low",F1)), $F$13/0.025, "No"))</f>
        <v>No</v>
      </c>
      <c r="G36" s="5" t="str">
        <f>IF(ISNUMBER(SEARCH("High",G1)), $G$13/0.1, IF(ISNUMBER(SEARCH("Low",G1)), $G$13/0.025, "No"))</f>
        <v>No</v>
      </c>
      <c r="H36" s="5" t="str">
        <f>IF(ISNUMBER(SEARCH("High",H1)), $H$13/0.1, IF(ISNUMBER(SEARCH("Low",H1)), $H$13/0.025, "No"))</f>
        <v>No</v>
      </c>
      <c r="I36" s="5" t="str">
        <f>IF(ISNUMBER(SEARCH("High",I1)), $I$13/0.1, IF(ISNUMBER(SEARCH("Low",I1)), $I$13/0.025, "No"))</f>
        <v>No</v>
      </c>
      <c r="J36" s="5" t="str">
        <f>IF(ISNUMBER(SEARCH("High",J1)), $J$13/0.1, IF(ISNUMBER(SEARCH("Low",J1)), $J$13/0.025, "No"))</f>
        <v>No</v>
      </c>
      <c r="K36" s="5" t="str">
        <f>IF(ISNUMBER(SEARCH("High",K1)), $K$13/0.1, IF(ISNUMBER(SEARCH("Low",K1)), $K$13/0.025, "No"))</f>
        <v>No</v>
      </c>
      <c r="L36" s="5" t="str">
        <f>IF(ISNUMBER(SEARCH("High",L1)), $L$13/0.1, IF(ISNUMBER(SEARCH("Low",L1)), $L$13/0.025, "No"))</f>
        <v>No</v>
      </c>
      <c r="M36" s="5" t="str">
        <f>IF(ISNUMBER(SEARCH("High",M1)), $M$13/0.1, IF(ISNUMBER(SEARCH("Low",M1)), $M$13/0.025, "No"))</f>
        <v>No</v>
      </c>
      <c r="N36" s="5" t="str">
        <f>IF(ISNUMBER(SEARCH("High",N1)), $N$13/0.1, IF(ISNUMBER(SEARCH("Low",N1)), $N$13/0.025, "No"))</f>
        <v>No</v>
      </c>
      <c r="O36" s="5" t="str">
        <f>IF(ISNUMBER(SEARCH("High",O1)), $O$13/0.1, IF(ISNUMBER(SEARCH("Low",O1)), $O$13/0.025, "No"))</f>
        <v>No</v>
      </c>
      <c r="P36" s="5" t="str">
        <f>IF(ISNUMBER(SEARCH("High",P1)), $P$13/0.1, IF(ISNUMBER(SEARCH("Low",P1)), $P$13/0.025, "No"))</f>
        <v>No</v>
      </c>
      <c r="Q36" s="5" t="str">
        <f>IF(ISNUMBER(SEARCH("High",Q1)), $Q$13/0.1, IF(ISNUMBER(SEARCH("Low",Q1)), $Q$13/0.025, "No"))</f>
        <v>No</v>
      </c>
      <c r="R36" s="5">
        <f>IF(ISNUMBER(SEARCH("High",R1)), $R$13/0.1, IF(ISNUMBER(SEARCH("Low",R1)), $R$13/0.025, "No"))</f>
        <v>1.0751999999999999</v>
      </c>
      <c r="S36" s="5" t="str">
        <f>IF(ISNUMBER(SEARCH("High",S1)), $S$13/0.1, IF(ISNUMBER(SEARCH("Low",S1)), $S$13/0.025, "No"))</f>
        <v>No</v>
      </c>
      <c r="T36" s="5" t="str">
        <f>IF(ISNUMBER(SEARCH("High",T1)), $T$13/0.1, IF(ISNUMBER(SEARCH("Low",T1)), $T$13/0.025, "No"))</f>
        <v>No</v>
      </c>
      <c r="U36" s="5" t="str">
        <f>IF(ISNUMBER(SEARCH("High",U1)), $U$13/0.1, IF(ISNUMBER(SEARCH("Low",U1)), $U$13/0.025, "No"))</f>
        <v>No</v>
      </c>
      <c r="V36" s="5" t="str">
        <f>IF(ISNUMBER(SEARCH("High",V1)), $V$13/0.1, IF(ISNUMBER(SEARCH("Low",V1)), $V$13/0.025, "No"))</f>
        <v>No</v>
      </c>
      <c r="W36" s="5" t="str">
        <f>IF(ISNUMBER(SEARCH("High",W1)), $W$13/0.1, IF(ISNUMBER(SEARCH("Low",W1)), $W$13/0.025, "No"))</f>
        <v>No</v>
      </c>
      <c r="X36" s="5" t="str">
        <f>IF(ISNUMBER(SEARCH("High",X1)), $X$13/0.1, IF(ISNUMBER(SEARCH("Low",X1)), $X$13/0.025, "No"))</f>
        <v>No</v>
      </c>
      <c r="Y36" s="5" t="str">
        <f>IF(ISNUMBER(SEARCH("High",Y1)), $Y$13/0.1, IF(ISNUMBER(SEARCH("Low",Y1)), $Y$13/0.025, "No"))</f>
        <v>No</v>
      </c>
      <c r="Z36" s="5" t="str">
        <f>IF(ISNUMBER(SEARCH("High",Z1)), $Z$13/0.1, IF(ISNUMBER(SEARCH("Low",Z1)), $Z$13/0.025, "No"))</f>
        <v>No</v>
      </c>
      <c r="AA36" s="5">
        <f>IF(ISNUMBER(SEARCH("High",AA1)), $AA$13/0.1, IF(ISNUMBER(SEARCH("Low",AA1)), $AA$13/0.025, "No"))</f>
        <v>0.92549999999999988</v>
      </c>
      <c r="AB36" s="5">
        <f>IF(ISNUMBER(SEARCH("High",AB1)), $AB$13/0.1, IF(ISNUMBER(SEARCH("Low",AB1)), $AB$13/0.025, "No"))</f>
        <v>1.0675999999999999</v>
      </c>
      <c r="AC36" s="5" t="str">
        <f>IF(ISNUMBER(SEARCH("High",AC1)), $AC$13/0.1, IF(ISNUMBER(SEARCH("Low",AC1)), $AC$13/0.025, "No"))</f>
        <v>No</v>
      </c>
      <c r="AD36" s="5" t="str">
        <f>IF(ISNUMBER(SEARCH("High",AD1)), $AD$13/0.1, IF(ISNUMBER(SEARCH("Low",AD1)), $AD$13/0.025, "No"))</f>
        <v>No</v>
      </c>
      <c r="AE36" s="5" t="str">
        <f>IF(ISNUMBER(SEARCH("High",AE1)), $AE$13/0.1, IF(ISNUMBER(SEARCH("Low",AE1)), $AE$13/0.025, "No"))</f>
        <v>No</v>
      </c>
      <c r="AF36" s="5" t="str">
        <f>IF(ISNUMBER(SEARCH("High",AF1)), $AF$13/0.1, IF(ISNUMBER(SEARCH("Low",AF1)), $AF$13/0.025, "No"))</f>
        <v>No</v>
      </c>
      <c r="AG36" s="5" t="str">
        <f>IF(ISNUMBER(SEARCH("High",AG1)), $AG$13/0.1, IF(ISNUMBER(SEARCH("Low",AG1)), $AG$13/0.025, "No"))</f>
        <v>No</v>
      </c>
      <c r="AH36" s="5" t="str">
        <f>IF(ISNUMBER(SEARCH("High",AH1)), $AH$13/0.1, IF(ISNUMBER(SEARCH("Low",AH1)), $AH$13/0.025, "No"))</f>
        <v>No</v>
      </c>
      <c r="AI36" s="5" t="str">
        <f>IF(ISNUMBER(SEARCH("High",AI1)), $AI$13/0.1, IF(ISNUMBER(SEARCH("Low",AI1)), $AI$13/0.025, "No"))</f>
        <v>No</v>
      </c>
      <c r="AJ36" s="5" t="str">
        <f>IF(ISNUMBER(SEARCH("High",AJ1)), $AJ$13/0.1, IF(ISNUMBER(SEARCH("Low",AJ1)), $AJ$13/0.025, "No"))</f>
        <v>No</v>
      </c>
      <c r="AK36" s="5" t="str">
        <f>IF(ISNUMBER(SEARCH("High",AK1)), $AK$13/0.1, IF(ISNUMBER(SEARCH("Low",AK1)), $AK$13/0.025, "No"))</f>
        <v>No</v>
      </c>
      <c r="AL36" s="5" t="str">
        <f>IF(ISNUMBER(SEARCH("High",AL1)), $AL$13/0.1, IF(ISNUMBER(SEARCH("Low",AL1)), $AL$13/0.025, "No"))</f>
        <v>No</v>
      </c>
      <c r="AM36" s="5">
        <f>IF(ISNUMBER(SEARCH("High",AM1)), $AM$13/0.1, IF(ISNUMBER(SEARCH("Low",AM1)), $AM$13/0.025, "No"))</f>
        <v>0.9121999999999999</v>
      </c>
      <c r="AN36" s="5">
        <f>IF(ISNUMBER(SEARCH("High",AN1)), $AN$13/0.1, IF(ISNUMBER(SEARCH("Low",AN1)), $AN$13/0.025, "No"))</f>
        <v>1.0644</v>
      </c>
      <c r="AO36" s="5" t="str">
        <f>IF(ISNUMBER(SEARCH("High",AO1)), $AO$13/0.1, IF(ISNUMBER(SEARCH("Low",AO1)), $AO$13/0.025, "No"))</f>
        <v>No</v>
      </c>
      <c r="AP36" s="5" t="str">
        <f>IF(ISNUMBER(SEARCH("High",AP1)), $AP$13/0.1, IF(ISNUMBER(SEARCH("Low",AP1)), $AP$13/0.025, "No"))</f>
        <v>No</v>
      </c>
      <c r="AQ36" s="5" t="str">
        <f>IF(ISNUMBER(SEARCH("High",AQ1)), $AQ$13/0.1, IF(ISNUMBER(SEARCH("Low",AQ1)), $AQ$13/0.025, "No"))</f>
        <v>No</v>
      </c>
      <c r="AR36" s="5" t="str">
        <f>IF(ISNUMBER(SEARCH("High",AR1)), $AR$13/0.1, IF(ISNUMBER(SEARCH("Low",AR1)), $AR$13/0.025, "No"))</f>
        <v>No</v>
      </c>
      <c r="AS36" s="5" t="str">
        <f>IF(ISNUMBER(SEARCH("High",AS1)), $AS$13/0.1, IF(ISNUMBER(SEARCH("Low",AS1)), $AS$13/0.025, "No"))</f>
        <v>No</v>
      </c>
      <c r="AT36" s="5" t="str">
        <f>IF(ISNUMBER(SEARCH("High",AT1)), $AT$13/0.1, IF(ISNUMBER(SEARCH("Low",AT1)), $AT$13/0.025, "No"))</f>
        <v>No</v>
      </c>
      <c r="AU36" s="5">
        <f>IF(ISNUMBER(SEARCH("High",AU1)), $AU$13/0.1, IF(ISNUMBER(SEARCH("Low",AU1)), $AU$13/0.025, "No"))</f>
        <v>0.91169999999999995</v>
      </c>
      <c r="AV36" s="5">
        <f>IF(ISNUMBER(SEARCH("High",AV1)), $AV$13/0.1, IF(ISNUMBER(SEARCH("Low",AV1)), $AV$13/0.025, "No"))</f>
        <v>1.0635999999999999</v>
      </c>
    </row>
    <row r="37" spans="1:48" x14ac:dyDescent="0.2">
      <c r="A37" t="str">
        <f>$A$14</f>
        <v>7.95</v>
      </c>
      <c r="B37" t="str">
        <f>$B$14</f>
        <v>D8-THC</v>
      </c>
      <c r="C37" t="str">
        <f>$C$14</f>
        <v>Compou
nd
Amount</v>
      </c>
      <c r="D37" s="5">
        <f>IF(ISNUMBER(SEARCH("High",D1)), $D$14/0.1, IF(ISNUMBER(SEARCH("Low",D1)), $D$14/0.025, "No"))</f>
        <v>7.3949999999999997E-3</v>
      </c>
      <c r="E37" s="5">
        <f>IF(ISNUMBER(SEARCH("High",E1)), $E$14/0.1, IF(ISNUMBER(SEARCH("Low",E1)), $E$14/0.025, "No"))</f>
        <v>1.1003999999999998</v>
      </c>
      <c r="F37" s="5" t="str">
        <f>IF(ISNUMBER(SEARCH("High",F1)), $F$14/0.1, IF(ISNUMBER(SEARCH("Low",F1)), $F$14/0.025, "No"))</f>
        <v>No</v>
      </c>
      <c r="G37" s="5" t="str">
        <f>IF(ISNUMBER(SEARCH("High",G1)), $G$14/0.1, IF(ISNUMBER(SEARCH("Low",G1)), $G$14/0.025, "No"))</f>
        <v>No</v>
      </c>
      <c r="H37" s="5" t="str">
        <f>IF(ISNUMBER(SEARCH("High",H1)), $H$14/0.1, IF(ISNUMBER(SEARCH("Low",H1)), $H$14/0.025, "No"))</f>
        <v>No</v>
      </c>
      <c r="I37" s="5" t="str">
        <f>IF(ISNUMBER(SEARCH("High",I1)), $I$14/0.1, IF(ISNUMBER(SEARCH("Low",I1)), $I$14/0.025, "No"))</f>
        <v>No</v>
      </c>
      <c r="J37" s="5" t="str">
        <f>IF(ISNUMBER(SEARCH("High",J1)), $J$14/0.1, IF(ISNUMBER(SEARCH("Low",J1)), $J$14/0.025, "No"))</f>
        <v>No</v>
      </c>
      <c r="K37" s="5" t="str">
        <f>IF(ISNUMBER(SEARCH("High",K1)), $K$14/0.1, IF(ISNUMBER(SEARCH("Low",K1)), $K$14/0.025, "No"))</f>
        <v>No</v>
      </c>
      <c r="L37" s="5" t="str">
        <f>IF(ISNUMBER(SEARCH("High",L1)), $L$14/0.1, IF(ISNUMBER(SEARCH("Low",L1)), $L$14/0.025, "No"))</f>
        <v>No</v>
      </c>
      <c r="M37" s="5" t="str">
        <f>IF(ISNUMBER(SEARCH("High",M1)), $M$14/0.1, IF(ISNUMBER(SEARCH("Low",M1)), $M$14/0.025, "No"))</f>
        <v>No</v>
      </c>
      <c r="N37" s="5" t="str">
        <f>IF(ISNUMBER(SEARCH("High",N1)), $N$14/0.1, IF(ISNUMBER(SEARCH("Low",N1)), $N$14/0.025, "No"))</f>
        <v>No</v>
      </c>
      <c r="O37" s="5" t="str">
        <f>IF(ISNUMBER(SEARCH("High",O1)), $O$14/0.1, IF(ISNUMBER(SEARCH("Low",O1)), $O$14/0.025, "No"))</f>
        <v>No</v>
      </c>
      <c r="P37" s="5" t="str">
        <f>IF(ISNUMBER(SEARCH("High",P1)), $P$14/0.1, IF(ISNUMBER(SEARCH("Low",P1)), $P$14/0.025, "No"))</f>
        <v>No</v>
      </c>
      <c r="Q37" s="5" t="str">
        <f>IF(ISNUMBER(SEARCH("High",Q1)), $Q$14/0.1, IF(ISNUMBER(SEARCH("Low",Q1)), $Q$14/0.025, "No"))</f>
        <v>No</v>
      </c>
      <c r="R37" s="5">
        <f>IF(ISNUMBER(SEARCH("High",R1)), $R$14/0.1, IF(ISNUMBER(SEARCH("Low",R1)), $R$14/0.025, "No"))</f>
        <v>1.0820000000000001</v>
      </c>
      <c r="S37" s="5" t="str">
        <f>IF(ISNUMBER(SEARCH("High",S1)), $S$14/0.1, IF(ISNUMBER(SEARCH("Low",S1)), $S$14/0.025, "No"))</f>
        <v>No</v>
      </c>
      <c r="T37" s="5" t="str">
        <f>IF(ISNUMBER(SEARCH("High",T1)), $T$14/0.1, IF(ISNUMBER(SEARCH("Low",T1)), $T$14/0.025, "No"))</f>
        <v>No</v>
      </c>
      <c r="U37" s="5" t="str">
        <f>IF(ISNUMBER(SEARCH("High",U1)), $U$14/0.1, IF(ISNUMBER(SEARCH("Low",U1)), $U$14/0.025, "No"))</f>
        <v>No</v>
      </c>
      <c r="V37" s="5" t="str">
        <f>IF(ISNUMBER(SEARCH("High",V1)), $V$14/0.1, IF(ISNUMBER(SEARCH("Low",V1)), $V$14/0.025, "No"))</f>
        <v>No</v>
      </c>
      <c r="W37" s="5" t="str">
        <f>IF(ISNUMBER(SEARCH("High",W1)), $W$14/0.1, IF(ISNUMBER(SEARCH("Low",W1)), $W$14/0.025, "No"))</f>
        <v>No</v>
      </c>
      <c r="X37" s="5" t="str">
        <f>IF(ISNUMBER(SEARCH("High",X1)), $X$14/0.1, IF(ISNUMBER(SEARCH("Low",X1)), $X$14/0.025, "No"))</f>
        <v>No</v>
      </c>
      <c r="Y37" s="5" t="str">
        <f>IF(ISNUMBER(SEARCH("High",Y1)), $Y$14/0.1, IF(ISNUMBER(SEARCH("Low",Y1)), $Y$14/0.025, "No"))</f>
        <v>No</v>
      </c>
      <c r="Z37" s="5" t="str">
        <f>IF(ISNUMBER(SEARCH("High",Z1)), $Z$14/0.1, IF(ISNUMBER(SEARCH("Low",Z1)), $Z$14/0.025, "No"))</f>
        <v>No</v>
      </c>
      <c r="AA37" s="5">
        <f>IF(ISNUMBER(SEARCH("High",AA1)), $AA$14/0.1, IF(ISNUMBER(SEARCH("Low",AA1)), $AA$14/0.025, "No"))</f>
        <v>6.8179999999999994E-3</v>
      </c>
      <c r="AB37" s="5">
        <f>IF(ISNUMBER(SEARCH("High",AB1)), $AB$14/0.1, IF(ISNUMBER(SEARCH("Low",AB1)), $AB$14/0.025, "No"))</f>
        <v>1.0743999999999998</v>
      </c>
      <c r="AC37" s="5" t="str">
        <f>IF(ISNUMBER(SEARCH("High",AC1)), $AC$14/0.1, IF(ISNUMBER(SEARCH("Low",AC1)), $AC$14/0.025, "No"))</f>
        <v>No</v>
      </c>
      <c r="AD37" s="5" t="str">
        <f>IF(ISNUMBER(SEARCH("High",AD1)), $AD$14/0.1, IF(ISNUMBER(SEARCH("Low",AD1)), $AD$14/0.025, "No"))</f>
        <v>No</v>
      </c>
      <c r="AE37" s="5" t="str">
        <f>IF(ISNUMBER(SEARCH("High",AE1)), $AE$14/0.1, IF(ISNUMBER(SEARCH("Low",AE1)), $AE$14/0.025, "No"))</f>
        <v>No</v>
      </c>
      <c r="AF37" s="5" t="str">
        <f>IF(ISNUMBER(SEARCH("High",AF1)), $AF$14/0.1, IF(ISNUMBER(SEARCH("Low",AF1)), $AF$14/0.025, "No"))</f>
        <v>No</v>
      </c>
      <c r="AG37" s="5" t="str">
        <f>IF(ISNUMBER(SEARCH("High",AG1)), $AG$14/0.1, IF(ISNUMBER(SEARCH("Low",AG1)), $AG$14/0.025, "No"))</f>
        <v>No</v>
      </c>
      <c r="AH37" s="5" t="str">
        <f>IF(ISNUMBER(SEARCH("High",AH1)), $AH$14/0.1, IF(ISNUMBER(SEARCH("Low",AH1)), $AH$14/0.025, "No"))</f>
        <v>No</v>
      </c>
      <c r="AI37" s="5" t="str">
        <f>IF(ISNUMBER(SEARCH("High",AI1)), $AI$14/0.1, IF(ISNUMBER(SEARCH("Low",AI1)), $AI$14/0.025, "No"))</f>
        <v>No</v>
      </c>
      <c r="AJ37" s="5" t="str">
        <f>IF(ISNUMBER(SEARCH("High",AJ1)), $AJ$14/0.1, IF(ISNUMBER(SEARCH("Low",AJ1)), $AJ$14/0.025, "No"))</f>
        <v>No</v>
      </c>
      <c r="AK37" s="5" t="str">
        <f>IF(ISNUMBER(SEARCH("High",AK1)), $AK$14/0.1, IF(ISNUMBER(SEARCH("Low",AK1)), $AK$14/0.025, "No"))</f>
        <v>No</v>
      </c>
      <c r="AL37" s="5" t="str">
        <f>IF(ISNUMBER(SEARCH("High",AL1)), $AL$14/0.1, IF(ISNUMBER(SEARCH("Low",AL1)), $AL$14/0.025, "No"))</f>
        <v>No</v>
      </c>
      <c r="AM37" s="5">
        <f>IF(ISNUMBER(SEARCH("High",AM1)), $AM$14/0.1, IF(ISNUMBER(SEARCH("Low",AM1)), $AM$14/0.025, "No"))</f>
        <v>6.5680000000000001E-3</v>
      </c>
      <c r="AN37" s="5">
        <f>IF(ISNUMBER(SEARCH("High",AN1)), $AN$14/0.1, IF(ISNUMBER(SEARCH("Low",AN1)), $AN$14/0.025, "No"))</f>
        <v>1.0699999999999998</v>
      </c>
      <c r="AO37" s="5" t="str">
        <f>IF(ISNUMBER(SEARCH("High",AO1)), $AO$14/0.1, IF(ISNUMBER(SEARCH("Low",AO1)), $AO$14/0.025, "No"))</f>
        <v>No</v>
      </c>
      <c r="AP37" s="5" t="str">
        <f>IF(ISNUMBER(SEARCH("High",AP1)), $AP$14/0.1, IF(ISNUMBER(SEARCH("Low",AP1)), $AP$14/0.025, "No"))</f>
        <v>No</v>
      </c>
      <c r="AQ37" s="5" t="str">
        <f>IF(ISNUMBER(SEARCH("High",AQ1)), $AQ$14/0.1, IF(ISNUMBER(SEARCH("Low",AQ1)), $AQ$14/0.025, "No"))</f>
        <v>No</v>
      </c>
      <c r="AR37" s="5" t="str">
        <f>IF(ISNUMBER(SEARCH("High",AR1)), $AR$14/0.1, IF(ISNUMBER(SEARCH("Low",AR1)), $AR$14/0.025, "No"))</f>
        <v>No</v>
      </c>
      <c r="AS37" s="5" t="str">
        <f>IF(ISNUMBER(SEARCH("High",AS1)), $AS$14/0.1, IF(ISNUMBER(SEARCH("Low",AS1)), $AS$14/0.025, "No"))</f>
        <v>No</v>
      </c>
      <c r="AT37" s="5" t="str">
        <f>IF(ISNUMBER(SEARCH("High",AT1)), $AT$14/0.1, IF(ISNUMBER(SEARCH("Low",AT1)), $AT$14/0.025, "No"))</f>
        <v>No</v>
      </c>
      <c r="AU37" s="5">
        <f>IF(ISNUMBER(SEARCH("High",AU1)), $AU$14/0.1, IF(ISNUMBER(SEARCH("Low",AU1)), $AU$14/0.025, "No"))</f>
        <v>6.5929999999999999E-3</v>
      </c>
      <c r="AV37" s="5">
        <f>IF(ISNUMBER(SEARCH("High",AV1)), $AV$14/0.1, IF(ISNUMBER(SEARCH("Low",AV1)), $AV$14/0.025, "No"))</f>
        <v>1.0695999999999999</v>
      </c>
    </row>
    <row r="38" spans="1:48" x14ac:dyDescent="0.2">
      <c r="A38" t="str">
        <f>$A$15</f>
        <v>8.75</v>
      </c>
      <c r="B38" t="str">
        <f>$B$15</f>
        <v>CBL</v>
      </c>
      <c r="C38" t="str">
        <f>$C$15</f>
        <v>Compou
nd
Amount</v>
      </c>
      <c r="D38" s="5">
        <f>IF(ISNUMBER(SEARCH("High",D1)), $D$15/0.1, IF(ISNUMBER(SEARCH("Low",D1)), $D$15/0.025, "No"))</f>
        <v>0</v>
      </c>
      <c r="E38" s="5">
        <f>IF(ISNUMBER(SEARCH("High",E1)), $E$15/0.1, IF(ISNUMBER(SEARCH("Low",E1)), $E$15/0.025, "No"))</f>
        <v>0.91759999999999986</v>
      </c>
      <c r="F38" s="5" t="str">
        <f>IF(ISNUMBER(SEARCH("High",F1)), $F$15/0.1, IF(ISNUMBER(SEARCH("Low",F1)), $F$15/0.025, "No"))</f>
        <v>No</v>
      </c>
      <c r="G38" s="5" t="str">
        <f>IF(ISNUMBER(SEARCH("High",G1)), $G$15/0.1, IF(ISNUMBER(SEARCH("Low",G1)), $G$15/0.025, "No"))</f>
        <v>No</v>
      </c>
      <c r="H38" s="5" t="str">
        <f>IF(ISNUMBER(SEARCH("High",H1)), $H$15/0.1, IF(ISNUMBER(SEARCH("Low",H1)), $H$15/0.025, "No"))</f>
        <v>No</v>
      </c>
      <c r="I38" s="5" t="str">
        <f>IF(ISNUMBER(SEARCH("High",I1)), $I$15/0.1, IF(ISNUMBER(SEARCH("Low",I1)), $I$15/0.025, "No"))</f>
        <v>No</v>
      </c>
      <c r="J38" s="5" t="str">
        <f>IF(ISNUMBER(SEARCH("High",J1)), $J$15/0.1, IF(ISNUMBER(SEARCH("Low",J1)), $J$15/0.025, "No"))</f>
        <v>No</v>
      </c>
      <c r="K38" s="5" t="str">
        <f>IF(ISNUMBER(SEARCH("High",K1)), $K$15/0.1, IF(ISNUMBER(SEARCH("Low",K1)), $K$15/0.025, "No"))</f>
        <v>No</v>
      </c>
      <c r="L38" s="5" t="str">
        <f>IF(ISNUMBER(SEARCH("High",L1)), $L$15/0.1, IF(ISNUMBER(SEARCH("Low",L1)), $L$15/0.025, "No"))</f>
        <v>No</v>
      </c>
      <c r="M38" s="5" t="str">
        <f>IF(ISNUMBER(SEARCH("High",M1)), $M$15/0.1, IF(ISNUMBER(SEARCH("Low",M1)), $M$15/0.025, "No"))</f>
        <v>No</v>
      </c>
      <c r="N38" s="5" t="str">
        <f>IF(ISNUMBER(SEARCH("High",N1)), $N$15/0.1, IF(ISNUMBER(SEARCH("Low",N1)), $N$15/0.025, "No"))</f>
        <v>No</v>
      </c>
      <c r="O38" s="5" t="str">
        <f>IF(ISNUMBER(SEARCH("High",O1)), $O$15/0.1, IF(ISNUMBER(SEARCH("Low",O1)), $O$15/0.025, "No"))</f>
        <v>No</v>
      </c>
      <c r="P38" s="5" t="str">
        <f>IF(ISNUMBER(SEARCH("High",P1)), $P$15/0.1, IF(ISNUMBER(SEARCH("Low",P1)), $P$15/0.025, "No"))</f>
        <v>No</v>
      </c>
      <c r="Q38" s="5" t="str">
        <f>IF(ISNUMBER(SEARCH("High",Q1)), $Q$15/0.1, IF(ISNUMBER(SEARCH("Low",Q1)), $Q$15/0.025, "No"))</f>
        <v>No</v>
      </c>
      <c r="R38" s="5">
        <f>IF(ISNUMBER(SEARCH("High",R1)), $R$15/0.1, IF(ISNUMBER(SEARCH("Low",R1)), $R$15/0.025, "No"))</f>
        <v>0.8992</v>
      </c>
      <c r="S38" s="5" t="str">
        <f>IF(ISNUMBER(SEARCH("High",S1)), $S$15/0.1, IF(ISNUMBER(SEARCH("Low",S1)), $S$15/0.025, "No"))</f>
        <v>No</v>
      </c>
      <c r="T38" s="5" t="str">
        <f>IF(ISNUMBER(SEARCH("High",T1)), $T$15/0.1, IF(ISNUMBER(SEARCH("Low",T1)), $T$15/0.025, "No"))</f>
        <v>No</v>
      </c>
      <c r="U38" s="5" t="str">
        <f>IF(ISNUMBER(SEARCH("High",U1)), $U$15/0.1, IF(ISNUMBER(SEARCH("Low",U1)), $U$15/0.025, "No"))</f>
        <v>No</v>
      </c>
      <c r="V38" s="5" t="str">
        <f>IF(ISNUMBER(SEARCH("High",V1)), $V$15/0.1, IF(ISNUMBER(SEARCH("Low",V1)), $V$15/0.025, "No"))</f>
        <v>No</v>
      </c>
      <c r="W38" s="5" t="str">
        <f>IF(ISNUMBER(SEARCH("High",W1)), $W$15/0.1, IF(ISNUMBER(SEARCH("Low",W1)), $W$15/0.025, "No"))</f>
        <v>No</v>
      </c>
      <c r="X38" s="5" t="str">
        <f>IF(ISNUMBER(SEARCH("High",X1)), $X$15/0.1, IF(ISNUMBER(SEARCH("Low",X1)), $X$15/0.025, "No"))</f>
        <v>No</v>
      </c>
      <c r="Y38" s="5" t="str">
        <f>IF(ISNUMBER(SEARCH("High",Y1)), $Y$15/0.1, IF(ISNUMBER(SEARCH("Low",Y1)), $Y$15/0.025, "No"))</f>
        <v>No</v>
      </c>
      <c r="Z38" s="5" t="str">
        <f>IF(ISNUMBER(SEARCH("High",Z1)), $Z$15/0.1, IF(ISNUMBER(SEARCH("Low",Z1)), $Z$15/0.025, "No"))</f>
        <v>No</v>
      </c>
      <c r="AA38" s="5">
        <f>IF(ISNUMBER(SEARCH("High",AA1)), $AA$15/0.1, IF(ISNUMBER(SEARCH("Low",AA1)), $AA$15/0.025, "No"))</f>
        <v>0</v>
      </c>
      <c r="AB38" s="5">
        <f>IF(ISNUMBER(SEARCH("High",AB1)), $AB$15/0.1, IF(ISNUMBER(SEARCH("Low",AB1)), $AB$15/0.025, "No"))</f>
        <v>0.88919999999999999</v>
      </c>
      <c r="AC38" s="5" t="str">
        <f>IF(ISNUMBER(SEARCH("High",AC1)), $AC$15/0.1, IF(ISNUMBER(SEARCH("Low",AC1)), $AC$15/0.025, "No"))</f>
        <v>No</v>
      </c>
      <c r="AD38" s="5" t="str">
        <f>IF(ISNUMBER(SEARCH("High",AD1)), $AD$15/0.1, IF(ISNUMBER(SEARCH("Low",AD1)), $AD$15/0.025, "No"))</f>
        <v>No</v>
      </c>
      <c r="AE38" s="5" t="str">
        <f>IF(ISNUMBER(SEARCH("High",AE1)), $AE$15/0.1, IF(ISNUMBER(SEARCH("Low",AE1)), $AE$15/0.025, "No"))</f>
        <v>No</v>
      </c>
      <c r="AF38" s="5" t="str">
        <f>IF(ISNUMBER(SEARCH("High",AF1)), $AF$15/0.1, IF(ISNUMBER(SEARCH("Low",AF1)), $AF$15/0.025, "No"))</f>
        <v>No</v>
      </c>
      <c r="AG38" s="5" t="str">
        <f>IF(ISNUMBER(SEARCH("High",AG1)), $AG$15/0.1, IF(ISNUMBER(SEARCH("Low",AG1)), $AG$15/0.025, "No"))</f>
        <v>No</v>
      </c>
      <c r="AH38" s="5" t="str">
        <f>IF(ISNUMBER(SEARCH("High",AH1)), $AH$15/0.1, IF(ISNUMBER(SEARCH("Low",AH1)), $AH$15/0.025, "No"))</f>
        <v>No</v>
      </c>
      <c r="AI38" s="5" t="str">
        <f>IF(ISNUMBER(SEARCH("High",AI1)), $AI$15/0.1, IF(ISNUMBER(SEARCH("Low",AI1)), $AI$15/0.025, "No"))</f>
        <v>No</v>
      </c>
      <c r="AJ38" s="5" t="str">
        <f>IF(ISNUMBER(SEARCH("High",AJ1)), $AJ$15/0.1, IF(ISNUMBER(SEARCH("Low",AJ1)), $AJ$15/0.025, "No"))</f>
        <v>No</v>
      </c>
      <c r="AK38" s="5" t="str">
        <f>IF(ISNUMBER(SEARCH("High",AK1)), $AK$15/0.1, IF(ISNUMBER(SEARCH("Low",AK1)), $AK$15/0.025, "No"))</f>
        <v>No</v>
      </c>
      <c r="AL38" s="5" t="str">
        <f>IF(ISNUMBER(SEARCH("High",AL1)), $AL$15/0.1, IF(ISNUMBER(SEARCH("Low",AL1)), $AL$15/0.025, "No"))</f>
        <v>No</v>
      </c>
      <c r="AM38" s="5">
        <f>IF(ISNUMBER(SEARCH("High",AM1)), $AM$15/0.1, IF(ISNUMBER(SEARCH("Low",AM1)), $AM$15/0.025, "No"))</f>
        <v>0</v>
      </c>
      <c r="AN38" s="5">
        <f>IF(ISNUMBER(SEARCH("High",AN1)), $AN$15/0.1, IF(ISNUMBER(SEARCH("Low",AN1)), $AN$15/0.025, "No"))</f>
        <v>0.88719999999999988</v>
      </c>
      <c r="AO38" s="5" t="str">
        <f>IF(ISNUMBER(SEARCH("High",AO1)), $AO$15/0.1, IF(ISNUMBER(SEARCH("Low",AO1)), $AO$15/0.025, "No"))</f>
        <v>No</v>
      </c>
      <c r="AP38" s="5" t="str">
        <f>IF(ISNUMBER(SEARCH("High",AP1)), $AP$15/0.1, IF(ISNUMBER(SEARCH("Low",AP1)), $AP$15/0.025, "No"))</f>
        <v>No</v>
      </c>
      <c r="AQ38" s="5" t="str">
        <f>IF(ISNUMBER(SEARCH("High",AQ1)), $AQ$15/0.1, IF(ISNUMBER(SEARCH("Low",AQ1)), $AQ$15/0.025, "No"))</f>
        <v>No</v>
      </c>
      <c r="AR38" s="5" t="str">
        <f>IF(ISNUMBER(SEARCH("High",AR1)), $AR$15/0.1, IF(ISNUMBER(SEARCH("Low",AR1)), $AR$15/0.025, "No"))</f>
        <v>No</v>
      </c>
      <c r="AS38" s="5" t="str">
        <f>IF(ISNUMBER(SEARCH("High",AS1)), $AS$15/0.1, IF(ISNUMBER(SEARCH("Low",AS1)), $AS$15/0.025, "No"))</f>
        <v>No</v>
      </c>
      <c r="AT38" s="5" t="str">
        <f>IF(ISNUMBER(SEARCH("High",AT1)), $AT$15/0.1, IF(ISNUMBER(SEARCH("Low",AT1)), $AT$15/0.025, "No"))</f>
        <v>No</v>
      </c>
      <c r="AU38" s="5">
        <f>IF(ISNUMBER(SEARCH("High",AU1)), $AU$15/0.1, IF(ISNUMBER(SEARCH("Low",AU1)), $AU$15/0.025, "No"))</f>
        <v>0</v>
      </c>
      <c r="AV38" s="5">
        <f>IF(ISNUMBER(SEARCH("High",AV1)), $AV$15/0.1, IF(ISNUMBER(SEARCH("Low",AV1)), $AV$15/0.025, "No"))</f>
        <v>0.88639999999999997</v>
      </c>
    </row>
    <row r="39" spans="1:48" x14ac:dyDescent="0.2">
      <c r="A39" t="str">
        <f>$A$16</f>
        <v>9.00</v>
      </c>
      <c r="B39" t="str">
        <f>$B$16</f>
        <v>THCA</v>
      </c>
      <c r="C39" t="str">
        <f>$C$16</f>
        <v>Compou
nd
Amount</v>
      </c>
      <c r="D39" s="5">
        <f>IF(ISNUMBER(SEARCH("High",D1)), $D$16/0.1, IF(ISNUMBER(SEARCH("Low",D1)), $D$16/0.025, "No"))</f>
        <v>0.90959999999999996</v>
      </c>
      <c r="E39" s="5">
        <f>IF(ISNUMBER(SEARCH("High",E1)), $E$16/0.1, IF(ISNUMBER(SEARCH("Low",E1)), $E$16/0.025, "No"))</f>
        <v>1.1239999999999999</v>
      </c>
      <c r="F39" s="5" t="str">
        <f>IF(ISNUMBER(SEARCH("High",F1)), $F$16/0.1, IF(ISNUMBER(SEARCH("Low",F1)), $F$16/0.025, "No"))</f>
        <v>No</v>
      </c>
      <c r="G39" s="5" t="str">
        <f>IF(ISNUMBER(SEARCH("High",G1)), $G$16/0.1, IF(ISNUMBER(SEARCH("Low",G1)), $G$16/0.025, "No"))</f>
        <v>No</v>
      </c>
      <c r="H39" s="5" t="str">
        <f>IF(ISNUMBER(SEARCH("High",H1)), $H$16/0.1, IF(ISNUMBER(SEARCH("Low",H1)), $H$16/0.025, "No"))</f>
        <v>No</v>
      </c>
      <c r="I39" s="5" t="str">
        <f>IF(ISNUMBER(SEARCH("High",I1)), $I$16/0.1, IF(ISNUMBER(SEARCH("Low",I1)), $I$16/0.025, "No"))</f>
        <v>No</v>
      </c>
      <c r="J39" s="5" t="str">
        <f>IF(ISNUMBER(SEARCH("High",J1)), $J$16/0.1, IF(ISNUMBER(SEARCH("Low",J1)), $J$16/0.025, "No"))</f>
        <v>No</v>
      </c>
      <c r="K39" s="5" t="str">
        <f>IF(ISNUMBER(SEARCH("High",K1)), $K$16/0.1, IF(ISNUMBER(SEARCH("Low",K1)), $K$16/0.025, "No"))</f>
        <v>No</v>
      </c>
      <c r="L39" s="5" t="str">
        <f>IF(ISNUMBER(SEARCH("High",L1)), $L$16/0.1, IF(ISNUMBER(SEARCH("Low",L1)), $L$16/0.025, "No"))</f>
        <v>No</v>
      </c>
      <c r="M39" s="5" t="str">
        <f>IF(ISNUMBER(SEARCH("High",M1)), $M$16/0.1, IF(ISNUMBER(SEARCH("Low",M1)), $M$16/0.025, "No"))</f>
        <v>No</v>
      </c>
      <c r="N39" s="5" t="str">
        <f>IF(ISNUMBER(SEARCH("High",N1)), $N$16/0.1, IF(ISNUMBER(SEARCH("Low",N1)), $N$16/0.025, "No"))</f>
        <v>No</v>
      </c>
      <c r="O39" s="5" t="str">
        <f>IF(ISNUMBER(SEARCH("High",O1)), $O$16/0.1, IF(ISNUMBER(SEARCH("Low",O1)), $O$16/0.025, "No"))</f>
        <v>No</v>
      </c>
      <c r="P39" s="5" t="str">
        <f>IF(ISNUMBER(SEARCH("High",P1)), $P$16/0.1, IF(ISNUMBER(SEARCH("Low",P1)), $P$16/0.025, "No"))</f>
        <v>No</v>
      </c>
      <c r="Q39" s="5" t="str">
        <f>IF(ISNUMBER(SEARCH("High",Q1)), $Q$16/0.1, IF(ISNUMBER(SEARCH("Low",Q1)), $Q$16/0.025, "No"))</f>
        <v>No</v>
      </c>
      <c r="R39" s="5">
        <f>IF(ISNUMBER(SEARCH("High",R1)), $R$16/0.1, IF(ISNUMBER(SEARCH("Low",R1)), $R$16/0.025, "No"))</f>
        <v>1.1020000000000001</v>
      </c>
      <c r="S39" s="5" t="str">
        <f>IF(ISNUMBER(SEARCH("High",S1)), $S$16/0.1, IF(ISNUMBER(SEARCH("Low",S1)), $S$16/0.025, "No"))</f>
        <v>No</v>
      </c>
      <c r="T39" s="5" t="str">
        <f>IF(ISNUMBER(SEARCH("High",T1)), $T$16/0.1, IF(ISNUMBER(SEARCH("Low",T1)), $T$16/0.025, "No"))</f>
        <v>No</v>
      </c>
      <c r="U39" s="5" t="str">
        <f>IF(ISNUMBER(SEARCH("High",U1)), $U$16/0.1, IF(ISNUMBER(SEARCH("Low",U1)), $U$16/0.025, "No"))</f>
        <v>No</v>
      </c>
      <c r="V39" s="5" t="str">
        <f>IF(ISNUMBER(SEARCH("High",V1)), $V$16/0.1, IF(ISNUMBER(SEARCH("Low",V1)), $V$16/0.025, "No"))</f>
        <v>No</v>
      </c>
      <c r="W39" s="5" t="str">
        <f>IF(ISNUMBER(SEARCH("High",W1)), $W$16/0.1, IF(ISNUMBER(SEARCH("Low",W1)), $W$16/0.025, "No"))</f>
        <v>No</v>
      </c>
      <c r="X39" s="5" t="str">
        <f>IF(ISNUMBER(SEARCH("High",X1)), $X$16/0.1, IF(ISNUMBER(SEARCH("Low",X1)), $X$16/0.025, "No"))</f>
        <v>No</v>
      </c>
      <c r="Y39" s="5" t="str">
        <f>IF(ISNUMBER(SEARCH("High",Y1)), $Y$16/0.1, IF(ISNUMBER(SEARCH("Low",Y1)), $Y$16/0.025, "No"))</f>
        <v>No</v>
      </c>
      <c r="Z39" s="5" t="str">
        <f>IF(ISNUMBER(SEARCH("High",Z1)), $Z$16/0.1, IF(ISNUMBER(SEARCH("Low",Z1)), $Z$16/0.025, "No"))</f>
        <v>No</v>
      </c>
      <c r="AA39" s="5">
        <f>IF(ISNUMBER(SEARCH("High",AA1)), $AA$16/0.1, IF(ISNUMBER(SEARCH("Low",AA1)), $AA$16/0.025, "No"))</f>
        <v>0.90179999999999993</v>
      </c>
      <c r="AB39" s="5">
        <f>IF(ISNUMBER(SEARCH("High",AB1)), $AB$16/0.1, IF(ISNUMBER(SEARCH("Low",AB1)), $AB$16/0.025, "No"))</f>
        <v>1.0835999999999999</v>
      </c>
      <c r="AC39" s="5" t="str">
        <f>IF(ISNUMBER(SEARCH("High",AC1)), $AC$16/0.1, IF(ISNUMBER(SEARCH("Low",AC1)), $AC$16/0.025, "No"))</f>
        <v>No</v>
      </c>
      <c r="AD39" s="5" t="str">
        <f>IF(ISNUMBER(SEARCH("High",AD1)), $AD$16/0.1, IF(ISNUMBER(SEARCH("Low",AD1)), $AD$16/0.025, "No"))</f>
        <v>No</v>
      </c>
      <c r="AE39" s="5" t="str">
        <f>IF(ISNUMBER(SEARCH("High",AE1)), $AE$16/0.1, IF(ISNUMBER(SEARCH("Low",AE1)), $AE$16/0.025, "No"))</f>
        <v>No</v>
      </c>
      <c r="AF39" s="5" t="str">
        <f>IF(ISNUMBER(SEARCH("High",AF1)), $AF$16/0.1, IF(ISNUMBER(SEARCH("Low",AF1)), $AF$16/0.025, "No"))</f>
        <v>No</v>
      </c>
      <c r="AG39" s="5" t="str">
        <f>IF(ISNUMBER(SEARCH("High",AG1)), $AG$16/0.1, IF(ISNUMBER(SEARCH("Low",AG1)), $AG$16/0.025, "No"))</f>
        <v>No</v>
      </c>
      <c r="AH39" s="5" t="str">
        <f>IF(ISNUMBER(SEARCH("High",AH1)), $AH$16/0.1, IF(ISNUMBER(SEARCH("Low",AH1)), $AH$16/0.025, "No"))</f>
        <v>No</v>
      </c>
      <c r="AI39" s="5" t="str">
        <f>IF(ISNUMBER(SEARCH("High",AI1)), $AI$16/0.1, IF(ISNUMBER(SEARCH("Low",AI1)), $AI$16/0.025, "No"))</f>
        <v>No</v>
      </c>
      <c r="AJ39" s="5" t="str">
        <f>IF(ISNUMBER(SEARCH("High",AJ1)), $AJ$16/0.1, IF(ISNUMBER(SEARCH("Low",AJ1)), $AJ$16/0.025, "No"))</f>
        <v>No</v>
      </c>
      <c r="AK39" s="5" t="str">
        <f>IF(ISNUMBER(SEARCH("High",AK1)), $AK$16/0.1, IF(ISNUMBER(SEARCH("Low",AK1)), $AK$16/0.025, "No"))</f>
        <v>No</v>
      </c>
      <c r="AL39" s="5" t="str">
        <f>IF(ISNUMBER(SEARCH("High",AL1)), $AL$16/0.1, IF(ISNUMBER(SEARCH("Low",AL1)), $AL$16/0.025, "No"))</f>
        <v>No</v>
      </c>
      <c r="AM39" s="5">
        <f>IF(ISNUMBER(SEARCH("High",AM1)), $AM$16/0.1, IF(ISNUMBER(SEARCH("Low",AM1)), $AM$16/0.025, "No"))</f>
        <v>0.88650000000000007</v>
      </c>
      <c r="AN39" s="5">
        <f>IF(ISNUMBER(SEARCH("High",AN1)), $AN$16/0.1, IF(ISNUMBER(SEARCH("Low",AN1)), $AN$16/0.025, "No"))</f>
        <v>1.0791999999999999</v>
      </c>
      <c r="AO39" s="5" t="str">
        <f>IF(ISNUMBER(SEARCH("High",AO1)), $AO$16/0.1, IF(ISNUMBER(SEARCH("Low",AO1)), $AO$16/0.025, "No"))</f>
        <v>No</v>
      </c>
      <c r="AP39" s="5" t="str">
        <f>IF(ISNUMBER(SEARCH("High",AP1)), $AP$16/0.1, IF(ISNUMBER(SEARCH("Low",AP1)), $AP$16/0.025, "No"))</f>
        <v>No</v>
      </c>
      <c r="AQ39" s="5" t="str">
        <f>IF(ISNUMBER(SEARCH("High",AQ1)), $AQ$16/0.1, IF(ISNUMBER(SEARCH("Low",AQ1)), $AQ$16/0.025, "No"))</f>
        <v>No</v>
      </c>
      <c r="AR39" s="5" t="str">
        <f>IF(ISNUMBER(SEARCH("High",AR1)), $AR$16/0.1, IF(ISNUMBER(SEARCH("Low",AR1)), $AR$16/0.025, "No"))</f>
        <v>No</v>
      </c>
      <c r="AS39" s="5" t="str">
        <f>IF(ISNUMBER(SEARCH("High",AS1)), $AS$16/0.1, IF(ISNUMBER(SEARCH("Low",AS1)), $AS$16/0.025, "No"))</f>
        <v>No</v>
      </c>
      <c r="AT39" s="5" t="str">
        <f>IF(ISNUMBER(SEARCH("High",AT1)), $AT$16/0.1, IF(ISNUMBER(SEARCH("Low",AT1)), $AT$16/0.025, "No"))</f>
        <v>No</v>
      </c>
      <c r="AU39" s="5">
        <f>IF(ISNUMBER(SEARCH("High",AU1)), $AU$16/0.1, IF(ISNUMBER(SEARCH("Low",AU1)), $AU$16/0.025, "No"))</f>
        <v>0.88459999999999994</v>
      </c>
      <c r="AV39" s="5">
        <f>IF(ISNUMBER(SEARCH("High",AV1)), $AV$16/0.1, IF(ISNUMBER(SEARCH("Low",AV1)), $AV$16/0.025, "No"))</f>
        <v>1.0771999999999999</v>
      </c>
    </row>
    <row r="40" spans="1:48" x14ac:dyDescent="0.2">
      <c r="A40" t="str">
        <f>$A$17</f>
        <v>9.19</v>
      </c>
      <c r="B40" t="str">
        <f>$B$17</f>
        <v>CBC</v>
      </c>
      <c r="C40" t="str">
        <f>$C$17</f>
        <v>Compou
nd
Amount</v>
      </c>
      <c r="D40" s="5">
        <f>IF(ISNUMBER(SEARCH("High",D1)), $D$17/0.1, IF(ISNUMBER(SEARCH("Low",D1)), $D$17/0.025, "No"))</f>
        <v>0</v>
      </c>
      <c r="E40" s="5">
        <f>IF(ISNUMBER(SEARCH("High",E1)), $E$17/0.1, IF(ISNUMBER(SEARCH("Low",E1)), $E$17/0.025, "No"))</f>
        <v>1.0968</v>
      </c>
      <c r="F40" s="5" t="str">
        <f>IF(ISNUMBER(SEARCH("High",F1)), $F$17/0.1, IF(ISNUMBER(SEARCH("Low",F1)), $F$17/0.025, "No"))</f>
        <v>No</v>
      </c>
      <c r="G40" s="5" t="str">
        <f>IF(ISNUMBER(SEARCH("High",G1)), $G$17/0.1, IF(ISNUMBER(SEARCH("Low",G1)), $G$17/0.025, "No"))</f>
        <v>No</v>
      </c>
      <c r="H40" s="5" t="str">
        <f>IF(ISNUMBER(SEARCH("High",H1)), $H$17/0.1, IF(ISNUMBER(SEARCH("Low",H1)), $H$17/0.025, "No"))</f>
        <v>No</v>
      </c>
      <c r="I40" s="5" t="str">
        <f>IF(ISNUMBER(SEARCH("High",I1)), $I$17/0.1, IF(ISNUMBER(SEARCH("Low",I1)), $I$17/0.025, "No"))</f>
        <v>No</v>
      </c>
      <c r="J40" s="5" t="str">
        <f>IF(ISNUMBER(SEARCH("High",J1)), $J$17/0.1, IF(ISNUMBER(SEARCH("Low",J1)), $J$17/0.025, "No"))</f>
        <v>No</v>
      </c>
      <c r="K40" s="5" t="str">
        <f>IF(ISNUMBER(SEARCH("High",K1)), $K$17/0.1, IF(ISNUMBER(SEARCH("Low",K1)), $K$17/0.025, "No"))</f>
        <v>No</v>
      </c>
      <c r="L40" s="5" t="str">
        <f>IF(ISNUMBER(SEARCH("High",L1)), $L$17/0.1, IF(ISNUMBER(SEARCH("Low",L1)), $L$17/0.025, "No"))</f>
        <v>No</v>
      </c>
      <c r="M40" s="5" t="str">
        <f>IF(ISNUMBER(SEARCH("High",M1)), $M$17/0.1, IF(ISNUMBER(SEARCH("Low",M1)), $M$17/0.025, "No"))</f>
        <v>No</v>
      </c>
      <c r="N40" s="5" t="str">
        <f>IF(ISNUMBER(SEARCH("High",N1)), $N$17/0.1, IF(ISNUMBER(SEARCH("Low",N1)), $N$17/0.025, "No"))</f>
        <v>No</v>
      </c>
      <c r="O40" s="5" t="str">
        <f>IF(ISNUMBER(SEARCH("High",O1)), $O$17/0.1, IF(ISNUMBER(SEARCH("Low",O1)), $O$17/0.025, "No"))</f>
        <v>No</v>
      </c>
      <c r="P40" s="5" t="str">
        <f>IF(ISNUMBER(SEARCH("High",P1)), $P$17/0.1, IF(ISNUMBER(SEARCH("Low",P1)), $P$17/0.025, "No"))</f>
        <v>No</v>
      </c>
      <c r="Q40" s="5" t="str">
        <f>IF(ISNUMBER(SEARCH("High",Q1)), $Q$17/0.1, IF(ISNUMBER(SEARCH("Low",Q1)), $Q$17/0.025, "No"))</f>
        <v>No</v>
      </c>
      <c r="R40" s="5">
        <f>IF(ISNUMBER(SEARCH("High",R1)), $R$17/0.1, IF(ISNUMBER(SEARCH("Low",R1)), $R$17/0.025, "No"))</f>
        <v>1.0808</v>
      </c>
      <c r="S40" s="5" t="str">
        <f>IF(ISNUMBER(SEARCH("High",S1)), $S$17/0.1, IF(ISNUMBER(SEARCH("Low",S1)), $S$17/0.025, "No"))</f>
        <v>No</v>
      </c>
      <c r="T40" s="5" t="str">
        <f>IF(ISNUMBER(SEARCH("High",T1)), $T$17/0.1, IF(ISNUMBER(SEARCH("Low",T1)), $T$17/0.025, "No"))</f>
        <v>No</v>
      </c>
      <c r="U40" s="5" t="str">
        <f>IF(ISNUMBER(SEARCH("High",U1)), $U$17/0.1, IF(ISNUMBER(SEARCH("Low",U1)), $U$17/0.025, "No"))</f>
        <v>No</v>
      </c>
      <c r="V40" s="5" t="str">
        <f>IF(ISNUMBER(SEARCH("High",V1)), $V$17/0.1, IF(ISNUMBER(SEARCH("Low",V1)), $V$17/0.025, "No"))</f>
        <v>No</v>
      </c>
      <c r="W40" s="5" t="str">
        <f>IF(ISNUMBER(SEARCH("High",W1)), $W$17/0.1, IF(ISNUMBER(SEARCH("Low",W1)), $W$17/0.025, "No"))</f>
        <v>No</v>
      </c>
      <c r="X40" s="5" t="str">
        <f>IF(ISNUMBER(SEARCH("High",X1)), $X$17/0.1, IF(ISNUMBER(SEARCH("Low",X1)), $X$17/0.025, "No"))</f>
        <v>No</v>
      </c>
      <c r="Y40" s="5" t="str">
        <f>IF(ISNUMBER(SEARCH("High",Y1)), $Y$17/0.1, IF(ISNUMBER(SEARCH("Low",Y1)), $Y$17/0.025, "No"))</f>
        <v>No</v>
      </c>
      <c r="Z40" s="5" t="str">
        <f>IF(ISNUMBER(SEARCH("High",Z1)), $Z$17/0.1, IF(ISNUMBER(SEARCH("Low",Z1)), $Z$17/0.025, "No"))</f>
        <v>No</v>
      </c>
      <c r="AA40" s="5">
        <f>IF(ISNUMBER(SEARCH("High",AA1)), $AA$17/0.1, IF(ISNUMBER(SEARCH("Low",AA1)), $AA$17/0.025, "No"))</f>
        <v>0</v>
      </c>
      <c r="AB40" s="5">
        <f>IF(ISNUMBER(SEARCH("High",AB1)), $AB$17/0.1, IF(ISNUMBER(SEARCH("Low",AB1)), $AB$17/0.025, "No"))</f>
        <v>1.0711999999999999</v>
      </c>
      <c r="AC40" s="5" t="str">
        <f>IF(ISNUMBER(SEARCH("High",AC1)), $AC$17/0.1, IF(ISNUMBER(SEARCH("Low",AC1)), $AC$17/0.025, "No"))</f>
        <v>No</v>
      </c>
      <c r="AD40" s="5" t="str">
        <f>IF(ISNUMBER(SEARCH("High",AD1)), $AD$17/0.1, IF(ISNUMBER(SEARCH("Low",AD1)), $AD$17/0.025, "No"))</f>
        <v>No</v>
      </c>
      <c r="AE40" s="5" t="str">
        <f>IF(ISNUMBER(SEARCH("High",AE1)), $AE$17/0.1, IF(ISNUMBER(SEARCH("Low",AE1)), $AE$17/0.025, "No"))</f>
        <v>No</v>
      </c>
      <c r="AF40" s="5" t="str">
        <f>IF(ISNUMBER(SEARCH("High",AF1)), $AF$17/0.1, IF(ISNUMBER(SEARCH("Low",AF1)), $AF$17/0.025, "No"))</f>
        <v>No</v>
      </c>
      <c r="AG40" s="5" t="str">
        <f>IF(ISNUMBER(SEARCH("High",AG1)), $AG$17/0.1, IF(ISNUMBER(SEARCH("Low",AG1)), $AG$17/0.025, "No"))</f>
        <v>No</v>
      </c>
      <c r="AH40" s="5" t="str">
        <f>IF(ISNUMBER(SEARCH("High",AH1)), $AH$17/0.1, IF(ISNUMBER(SEARCH("Low",AH1)), $AH$17/0.025, "No"))</f>
        <v>No</v>
      </c>
      <c r="AI40" s="5" t="str">
        <f>IF(ISNUMBER(SEARCH("High",AI1)), $AI$17/0.1, IF(ISNUMBER(SEARCH("Low",AI1)), $AI$17/0.025, "No"))</f>
        <v>No</v>
      </c>
      <c r="AJ40" s="5" t="str">
        <f>IF(ISNUMBER(SEARCH("High",AJ1)), $AJ$17/0.1, IF(ISNUMBER(SEARCH("Low",AJ1)), $AJ$17/0.025, "No"))</f>
        <v>No</v>
      </c>
      <c r="AK40" s="5" t="str">
        <f>IF(ISNUMBER(SEARCH("High",AK1)), $AK$17/0.1, IF(ISNUMBER(SEARCH("Low",AK1)), $AK$17/0.025, "No"))</f>
        <v>No</v>
      </c>
      <c r="AL40" s="5" t="str">
        <f>IF(ISNUMBER(SEARCH("High",AL1)), $AL$17/0.1, IF(ISNUMBER(SEARCH("Low",AL1)), $AL$17/0.025, "No"))</f>
        <v>No</v>
      </c>
      <c r="AM40" s="5">
        <f>IF(ISNUMBER(SEARCH("High",AM1)), $AM$17/0.1, IF(ISNUMBER(SEARCH("Low",AM1)), $AM$17/0.025, "No"))</f>
        <v>0</v>
      </c>
      <c r="AN40" s="5">
        <f>IF(ISNUMBER(SEARCH("High",AN1)), $AN$17/0.1, IF(ISNUMBER(SEARCH("Low",AN1)), $AN$17/0.025, "No"))</f>
        <v>1.0684</v>
      </c>
      <c r="AO40" s="5" t="str">
        <f>IF(ISNUMBER(SEARCH("High",AO1)), $AO$17/0.1, IF(ISNUMBER(SEARCH("Low",AO1)), $AO$17/0.025, "No"))</f>
        <v>No</v>
      </c>
      <c r="AP40" s="5" t="str">
        <f>IF(ISNUMBER(SEARCH("High",AP1)), $AP$17/0.1, IF(ISNUMBER(SEARCH("Low",AP1)), $AP$17/0.025, "No"))</f>
        <v>No</v>
      </c>
      <c r="AQ40" s="5" t="str">
        <f>IF(ISNUMBER(SEARCH("High",AQ1)), $AQ$17/0.1, IF(ISNUMBER(SEARCH("Low",AQ1)), $AQ$17/0.025, "No"))</f>
        <v>No</v>
      </c>
      <c r="AR40" s="5" t="str">
        <f>IF(ISNUMBER(SEARCH("High",AR1)), $AR$17/0.1, IF(ISNUMBER(SEARCH("Low",AR1)), $AR$17/0.025, "No"))</f>
        <v>No</v>
      </c>
      <c r="AS40" s="5" t="str">
        <f>IF(ISNUMBER(SEARCH("High",AS1)), $AS$17/0.1, IF(ISNUMBER(SEARCH("Low",AS1)), $AS$17/0.025, "No"))</f>
        <v>No</v>
      </c>
      <c r="AT40" s="5" t="str">
        <f>IF(ISNUMBER(SEARCH("High",AT1)), $AT$17/0.1, IF(ISNUMBER(SEARCH("Low",AT1)), $AT$17/0.025, "No"))</f>
        <v>No</v>
      </c>
      <c r="AU40" s="5">
        <f>IF(ISNUMBER(SEARCH("High",AU1)), $AU$17/0.1, IF(ISNUMBER(SEARCH("Low",AU1)), $AU$17/0.025, "No"))</f>
        <v>0</v>
      </c>
      <c r="AV40" s="5">
        <f>IF(ISNUMBER(SEARCH("High",AV1)), $AV$17/0.1, IF(ISNUMBER(SEARCH("Low",AV1)), $AV$17/0.025, "No"))</f>
        <v>1.0675999999999999</v>
      </c>
    </row>
    <row r="41" spans="1:48" x14ac:dyDescent="0.2">
      <c r="A41" t="str">
        <f>$A$18</f>
        <v>9.77</v>
      </c>
      <c r="B41" t="str">
        <f>$B$18</f>
        <v>CBCA</v>
      </c>
      <c r="C41" t="str">
        <f>$C$18</f>
        <v>Compou
nd
Amount</v>
      </c>
      <c r="D41" s="5">
        <f>IF(ISNUMBER(SEARCH("High",D1)), $D$18/0.1, IF(ISNUMBER(SEARCH("Low",D1)), $D$18/0.025, "No"))</f>
        <v>0</v>
      </c>
      <c r="E41" s="5">
        <f>IF(ISNUMBER(SEARCH("High",E1)), $E$18/0.1, IF(ISNUMBER(SEARCH("Low",E1)), $E$18/0.025, "No"))</f>
        <v>1.1068</v>
      </c>
      <c r="F41" s="5" t="str">
        <f>IF(ISNUMBER(SEARCH("High",F1)), $F$18/0.1, IF(ISNUMBER(SEARCH("Low",F1)), $F$18/0.025, "No"))</f>
        <v>No</v>
      </c>
      <c r="G41" s="5" t="str">
        <f>IF(ISNUMBER(SEARCH("High",G1)), $G$18/0.1, IF(ISNUMBER(SEARCH("Low",G1)), $G$18/0.025, "No"))</f>
        <v>No</v>
      </c>
      <c r="H41" s="5" t="str">
        <f>IF(ISNUMBER(SEARCH("High",H1)), $H$18/0.1, IF(ISNUMBER(SEARCH("Low",H1)), $H$18/0.025, "No"))</f>
        <v>No</v>
      </c>
      <c r="I41" s="5" t="str">
        <f>IF(ISNUMBER(SEARCH("High",I1)), $I$18/0.1, IF(ISNUMBER(SEARCH("Low",I1)), $I$18/0.025, "No"))</f>
        <v>No</v>
      </c>
      <c r="J41" s="5" t="str">
        <f>IF(ISNUMBER(SEARCH("High",J1)), $J$18/0.1, IF(ISNUMBER(SEARCH("Low",J1)), $J$18/0.025, "No"))</f>
        <v>No</v>
      </c>
      <c r="K41" s="5" t="str">
        <f>IF(ISNUMBER(SEARCH("High",K1)), $K$18/0.1, IF(ISNUMBER(SEARCH("Low",K1)), $K$18/0.025, "No"))</f>
        <v>No</v>
      </c>
      <c r="L41" s="5" t="str">
        <f>IF(ISNUMBER(SEARCH("High",L1)), $L$18/0.1, IF(ISNUMBER(SEARCH("Low",L1)), $L$18/0.025, "No"))</f>
        <v>No</v>
      </c>
      <c r="M41" s="5" t="str">
        <f>IF(ISNUMBER(SEARCH("High",M1)), $M$18/0.1, IF(ISNUMBER(SEARCH("Low",M1)), $M$18/0.025, "No"))</f>
        <v>No</v>
      </c>
      <c r="N41" s="5" t="str">
        <f>IF(ISNUMBER(SEARCH("High",N1)), $N$18/0.1, IF(ISNUMBER(SEARCH("Low",N1)), $N$18/0.025, "No"))</f>
        <v>No</v>
      </c>
      <c r="O41" s="5" t="str">
        <f>IF(ISNUMBER(SEARCH("High",O1)), $O$18/0.1, IF(ISNUMBER(SEARCH("Low",O1)), $O$18/0.025, "No"))</f>
        <v>No</v>
      </c>
      <c r="P41" s="5" t="str">
        <f>IF(ISNUMBER(SEARCH("High",P1)), $P$18/0.1, IF(ISNUMBER(SEARCH("Low",P1)), $P$18/0.025, "No"))</f>
        <v>No</v>
      </c>
      <c r="Q41" s="5" t="str">
        <f>IF(ISNUMBER(SEARCH("High",Q1)), $Q$18/0.1, IF(ISNUMBER(SEARCH("Low",Q1)), $Q$18/0.025, "No"))</f>
        <v>No</v>
      </c>
      <c r="R41" s="5">
        <f>IF(ISNUMBER(SEARCH("High",R1)), $R$18/0.1, IF(ISNUMBER(SEARCH("Low",R1)), $R$18/0.025, "No"))</f>
        <v>1.0847999999999998</v>
      </c>
      <c r="S41" s="5" t="str">
        <f>IF(ISNUMBER(SEARCH("High",S1)), $S$18/0.1, IF(ISNUMBER(SEARCH("Low",S1)), $S$18/0.025, "No"))</f>
        <v>No</v>
      </c>
      <c r="T41" s="5" t="str">
        <f>IF(ISNUMBER(SEARCH("High",T1)), $T$18/0.1, IF(ISNUMBER(SEARCH("Low",T1)), $T$18/0.025, "No"))</f>
        <v>No</v>
      </c>
      <c r="U41" s="5" t="str">
        <f>IF(ISNUMBER(SEARCH("High",U1)), $U$18/0.1, IF(ISNUMBER(SEARCH("Low",U1)), $U$18/0.025, "No"))</f>
        <v>No</v>
      </c>
      <c r="V41" s="5" t="str">
        <f>IF(ISNUMBER(SEARCH("High",V1)), $V$18/0.1, IF(ISNUMBER(SEARCH("Low",V1)), $V$18/0.025, "No"))</f>
        <v>No</v>
      </c>
      <c r="W41" s="5" t="str">
        <f>IF(ISNUMBER(SEARCH("High",W1)), $W$18/0.1, IF(ISNUMBER(SEARCH("Low",W1)), $W$18/0.025, "No"))</f>
        <v>No</v>
      </c>
      <c r="X41" s="5" t="str">
        <f>IF(ISNUMBER(SEARCH("High",X1)), $X$18/0.1, IF(ISNUMBER(SEARCH("Low",X1)), $X$18/0.025, "No"))</f>
        <v>No</v>
      </c>
      <c r="Y41" s="5" t="str">
        <f>IF(ISNUMBER(SEARCH("High",Y1)), $Y$18/0.1, IF(ISNUMBER(SEARCH("Low",Y1)), $Y$18/0.025, "No"))</f>
        <v>No</v>
      </c>
      <c r="Z41" s="5" t="str">
        <f>IF(ISNUMBER(SEARCH("High",Z1)), $Z$18/0.1, IF(ISNUMBER(SEARCH("Low",Z1)), $Z$18/0.025, "No"))</f>
        <v>No</v>
      </c>
      <c r="AA41" s="5">
        <f>IF(ISNUMBER(SEARCH("High",AA1)), $AA$18/0.1, IF(ISNUMBER(SEARCH("Low",AA1)), $AA$18/0.025, "No"))</f>
        <v>0</v>
      </c>
      <c r="AB41" s="5">
        <f>IF(ISNUMBER(SEARCH("High",AB1)), $AB$18/0.1, IF(ISNUMBER(SEARCH("Low",AB1)), $AB$18/0.025, "No"))</f>
        <v>1.0671999999999999</v>
      </c>
      <c r="AC41" s="5" t="str">
        <f>IF(ISNUMBER(SEARCH("High",AC1)), $AC$18/0.1, IF(ISNUMBER(SEARCH("Low",AC1)), $AC$18/0.025, "No"))</f>
        <v>No</v>
      </c>
      <c r="AD41" s="5" t="str">
        <f>IF(ISNUMBER(SEARCH("High",AD1)), $AD$18/0.1, IF(ISNUMBER(SEARCH("Low",AD1)), $AD$18/0.025, "No"))</f>
        <v>No</v>
      </c>
      <c r="AE41" s="5" t="str">
        <f>IF(ISNUMBER(SEARCH("High",AE1)), $AE$18/0.1, IF(ISNUMBER(SEARCH("Low",AE1)), $AE$18/0.025, "No"))</f>
        <v>No</v>
      </c>
      <c r="AF41" s="5" t="str">
        <f>IF(ISNUMBER(SEARCH("High",AF1)), $AF$18/0.1, IF(ISNUMBER(SEARCH("Low",AF1)), $AF$18/0.025, "No"))</f>
        <v>No</v>
      </c>
      <c r="AG41" s="5" t="str">
        <f>IF(ISNUMBER(SEARCH("High",AG1)), $AG$18/0.1, IF(ISNUMBER(SEARCH("Low",AG1)), $AG$18/0.025, "No"))</f>
        <v>No</v>
      </c>
      <c r="AH41" s="5" t="str">
        <f>IF(ISNUMBER(SEARCH("High",AH1)), $AH$18/0.1, IF(ISNUMBER(SEARCH("Low",AH1)), $AH$18/0.025, "No"))</f>
        <v>No</v>
      </c>
      <c r="AI41" s="5" t="str">
        <f>IF(ISNUMBER(SEARCH("High",AI1)), $AI$18/0.1, IF(ISNUMBER(SEARCH("Low",AI1)), $AI$18/0.025, "No"))</f>
        <v>No</v>
      </c>
      <c r="AJ41" s="5" t="str">
        <f>IF(ISNUMBER(SEARCH("High",AJ1)), $AJ$18/0.1, IF(ISNUMBER(SEARCH("Low",AJ1)), $AJ$18/0.025, "No"))</f>
        <v>No</v>
      </c>
      <c r="AK41" s="5" t="str">
        <f>IF(ISNUMBER(SEARCH("High",AK1)), $AK$18/0.1, IF(ISNUMBER(SEARCH("Low",AK1)), $AK$18/0.025, "No"))</f>
        <v>No</v>
      </c>
      <c r="AL41" s="5" t="str">
        <f>IF(ISNUMBER(SEARCH("High",AL1)), $AL$18/0.1, IF(ISNUMBER(SEARCH("Low",AL1)), $AL$18/0.025, "No"))</f>
        <v>No</v>
      </c>
      <c r="AM41" s="5">
        <f>IF(ISNUMBER(SEARCH("High",AM1)), $AM$18/0.1, IF(ISNUMBER(SEARCH("Low",AM1)), $AM$18/0.025, "No"))</f>
        <v>0</v>
      </c>
      <c r="AN41" s="5">
        <f>IF(ISNUMBER(SEARCH("High",AN1)), $AN$18/0.1, IF(ISNUMBER(SEARCH("Low",AN1)), $AN$18/0.025, "No"))</f>
        <v>1.0620000000000001</v>
      </c>
      <c r="AO41" s="5" t="str">
        <f>IF(ISNUMBER(SEARCH("High",AO1)), $AO$18/0.1, IF(ISNUMBER(SEARCH("Low",AO1)), $AO$18/0.025, "No"))</f>
        <v>No</v>
      </c>
      <c r="AP41" s="5" t="str">
        <f>IF(ISNUMBER(SEARCH("High",AP1)), $AP$18/0.1, IF(ISNUMBER(SEARCH("Low",AP1)), $AP$18/0.025, "No"))</f>
        <v>No</v>
      </c>
      <c r="AQ41" s="5" t="str">
        <f>IF(ISNUMBER(SEARCH("High",AQ1)), $AQ$18/0.1, IF(ISNUMBER(SEARCH("Low",AQ1)), $AQ$18/0.025, "No"))</f>
        <v>No</v>
      </c>
      <c r="AR41" s="5" t="str">
        <f>IF(ISNUMBER(SEARCH("High",AR1)), $AR$18/0.1, IF(ISNUMBER(SEARCH("Low",AR1)), $AR$18/0.025, "No"))</f>
        <v>No</v>
      </c>
      <c r="AS41" s="5" t="str">
        <f>IF(ISNUMBER(SEARCH("High",AS1)), $AS$18/0.1, IF(ISNUMBER(SEARCH("Low",AS1)), $AS$18/0.025, "No"))</f>
        <v>No</v>
      </c>
      <c r="AT41" s="5" t="str">
        <f>IF(ISNUMBER(SEARCH("High",AT1)), $AT$18/0.1, IF(ISNUMBER(SEARCH("Low",AT1)), $AT$18/0.025, "No"))</f>
        <v>No</v>
      </c>
      <c r="AU41" s="5">
        <f>IF(ISNUMBER(SEARCH("High",AU1)), $AU$18/0.1, IF(ISNUMBER(SEARCH("Low",AU1)), $AU$18/0.025, "No"))</f>
        <v>0</v>
      </c>
      <c r="AV41" s="5">
        <f>IF(ISNUMBER(SEARCH("High",AV1)), $AV$18/0.1, IF(ISNUMBER(SEARCH("Low",AV1)), $AV$18/0.025, "No"))</f>
        <v>1.0588</v>
      </c>
    </row>
    <row r="42" spans="1:48" x14ac:dyDescent="0.2">
      <c r="A42" t="str">
        <f>$A$19</f>
        <v>9.96</v>
      </c>
      <c r="B42" t="str">
        <f>$B$19</f>
        <v>CBLA</v>
      </c>
      <c r="C42" t="str">
        <f>$C$19</f>
        <v>Compou
nd
Amount</v>
      </c>
      <c r="D42" s="5">
        <f>IF(ISNUMBER(SEARCH("High",D1)), $D$19/0.1, IF(ISNUMBER(SEARCH("Low",D1)), $D$19/0.025, "No"))</f>
        <v>0</v>
      </c>
      <c r="E42" s="5">
        <f>IF(ISNUMBER(SEARCH("High",E1)), $E$19/0.1, IF(ISNUMBER(SEARCH("Low",E1)), $E$19/0.025, "No"))</f>
        <v>1.1012</v>
      </c>
      <c r="F42" s="5" t="str">
        <f>IF(ISNUMBER(SEARCH("High",F1)), $F$19/0.1, IF(ISNUMBER(SEARCH("Low",F1)), $F$19/0.025, "No"))</f>
        <v>No</v>
      </c>
      <c r="G42" s="5" t="str">
        <f>IF(ISNUMBER(SEARCH("High",G1)), $G$19/0.1, IF(ISNUMBER(SEARCH("Low",G1)), $G$19/0.025, "No"))</f>
        <v>No</v>
      </c>
      <c r="H42" s="5" t="str">
        <f>IF(ISNUMBER(SEARCH("High",H1)), $H$19/0.1, IF(ISNUMBER(SEARCH("Low",H1)), $H$19/0.025, "No"))</f>
        <v>No</v>
      </c>
      <c r="I42" s="5" t="str">
        <f>IF(ISNUMBER(SEARCH("High",I1)), $I$19/0.1, IF(ISNUMBER(SEARCH("Low",I1)), $I$19/0.025, "No"))</f>
        <v>No</v>
      </c>
      <c r="J42" s="5" t="str">
        <f>IF(ISNUMBER(SEARCH("High",J1)), $J$19/0.1, IF(ISNUMBER(SEARCH("Low",J1)), $J$19/0.025, "No"))</f>
        <v>No</v>
      </c>
      <c r="K42" s="5" t="str">
        <f>IF(ISNUMBER(SEARCH("High",K1)), $K$19/0.1, IF(ISNUMBER(SEARCH("Low",K1)), $K$19/0.025, "No"))</f>
        <v>No</v>
      </c>
      <c r="L42" s="5" t="str">
        <f>IF(ISNUMBER(SEARCH("High",L1)), $L$19/0.1, IF(ISNUMBER(SEARCH("Low",L1)), $L$19/0.025, "No"))</f>
        <v>No</v>
      </c>
      <c r="M42" s="5" t="str">
        <f>IF(ISNUMBER(SEARCH("High",M1)), $M$19/0.1, IF(ISNUMBER(SEARCH("Low",M1)), $M$19/0.025, "No"))</f>
        <v>No</v>
      </c>
      <c r="N42" s="5" t="str">
        <f>IF(ISNUMBER(SEARCH("High",N1)), $N$19/0.1, IF(ISNUMBER(SEARCH("Low",N1)), $N$19/0.025, "No"))</f>
        <v>No</v>
      </c>
      <c r="O42" s="5" t="str">
        <f>IF(ISNUMBER(SEARCH("High",O1)), $O$19/0.1, IF(ISNUMBER(SEARCH("Low",O1)), $O$19/0.025, "No"))</f>
        <v>No</v>
      </c>
      <c r="P42" s="5" t="str">
        <f>IF(ISNUMBER(SEARCH("High",P1)), $P$19/0.1, IF(ISNUMBER(SEARCH("Low",P1)), $P$19/0.025, "No"))</f>
        <v>No</v>
      </c>
      <c r="Q42" s="5" t="str">
        <f>IF(ISNUMBER(SEARCH("High",Q1)), $Q$19/0.1, IF(ISNUMBER(SEARCH("Low",Q1)), $Q$19/0.025, "No"))</f>
        <v>No</v>
      </c>
      <c r="R42" s="5">
        <f>IF(ISNUMBER(SEARCH("High",R1)), $R$19/0.1, IF(ISNUMBER(SEARCH("Low",R1)), $R$19/0.025, "No"))</f>
        <v>1.0768</v>
      </c>
      <c r="S42" s="5" t="str">
        <f>IF(ISNUMBER(SEARCH("High",S1)), $S$19/0.1, IF(ISNUMBER(SEARCH("Low",S1)), $S$19/0.025, "No"))</f>
        <v>No</v>
      </c>
      <c r="T42" s="5" t="str">
        <f>IF(ISNUMBER(SEARCH("High",T1)), $T$19/0.1, IF(ISNUMBER(SEARCH("Low",T1)), $T$19/0.025, "No"))</f>
        <v>No</v>
      </c>
      <c r="U42" s="5" t="str">
        <f>IF(ISNUMBER(SEARCH("High",U1)), $U$19/0.1, IF(ISNUMBER(SEARCH("Low",U1)), $U$19/0.025, "No"))</f>
        <v>No</v>
      </c>
      <c r="V42" s="5" t="str">
        <f>IF(ISNUMBER(SEARCH("High",V1)), $V$19/0.1, IF(ISNUMBER(SEARCH("Low",V1)), $V$19/0.025, "No"))</f>
        <v>No</v>
      </c>
      <c r="W42" s="5" t="str">
        <f>IF(ISNUMBER(SEARCH("High",W1)), $W$19/0.1, IF(ISNUMBER(SEARCH("Low",W1)), $W$19/0.025, "No"))</f>
        <v>No</v>
      </c>
      <c r="X42" s="5" t="str">
        <f>IF(ISNUMBER(SEARCH("High",X1)), $X$19/0.1, IF(ISNUMBER(SEARCH("Low",X1)), $X$19/0.025, "No"))</f>
        <v>No</v>
      </c>
      <c r="Y42" s="5" t="str">
        <f>IF(ISNUMBER(SEARCH("High",Y1)), $Y$19/0.1, IF(ISNUMBER(SEARCH("Low",Y1)), $Y$19/0.025, "No"))</f>
        <v>No</v>
      </c>
      <c r="Z42" s="5" t="str">
        <f>IF(ISNUMBER(SEARCH("High",Z1)), $Z$19/0.1, IF(ISNUMBER(SEARCH("Low",Z1)), $Z$19/0.025, "No"))</f>
        <v>No</v>
      </c>
      <c r="AA42" s="5">
        <f>IF(ISNUMBER(SEARCH("High",AA1)), $AA$19/0.1, IF(ISNUMBER(SEARCH("Low",AA1)), $AA$19/0.025, "No"))</f>
        <v>0</v>
      </c>
      <c r="AB42" s="5">
        <f>IF(ISNUMBER(SEARCH("High",AB1)), $AB$19/0.1, IF(ISNUMBER(SEARCH("Low",AB1)), $AB$19/0.025, "No"))</f>
        <v>1.0595999999999999</v>
      </c>
      <c r="AC42" s="5" t="str">
        <f>IF(ISNUMBER(SEARCH("High",AC1)), $AC$19/0.1, IF(ISNUMBER(SEARCH("Low",AC1)), $AC$19/0.025, "No"))</f>
        <v>No</v>
      </c>
      <c r="AD42" s="5" t="str">
        <f>IF(ISNUMBER(SEARCH("High",AD1)), $AD$19/0.1, IF(ISNUMBER(SEARCH("Low",AD1)), $AD$19/0.025, "No"))</f>
        <v>No</v>
      </c>
      <c r="AE42" s="5" t="str">
        <f>IF(ISNUMBER(SEARCH("High",AE1)), $AE$19/0.1, IF(ISNUMBER(SEARCH("Low",AE1)), $AE$19/0.025, "No"))</f>
        <v>No</v>
      </c>
      <c r="AF42" s="5" t="str">
        <f>IF(ISNUMBER(SEARCH("High",AF1)), $AF$19/0.1, IF(ISNUMBER(SEARCH("Low",AF1)), $AF$19/0.025, "No"))</f>
        <v>No</v>
      </c>
      <c r="AG42" s="5" t="str">
        <f>IF(ISNUMBER(SEARCH("High",AG1)), $AG$19/0.1, IF(ISNUMBER(SEARCH("Low",AG1)), $AG$19/0.025, "No"))</f>
        <v>No</v>
      </c>
      <c r="AH42" s="5" t="str">
        <f>IF(ISNUMBER(SEARCH("High",AH1)), $AH$19/0.1, IF(ISNUMBER(SEARCH("Low",AH1)), $AH$19/0.025, "No"))</f>
        <v>No</v>
      </c>
      <c r="AI42" s="5" t="str">
        <f>IF(ISNUMBER(SEARCH("High",AI1)), $AI$19/0.1, IF(ISNUMBER(SEARCH("Low",AI1)), $AI$19/0.025, "No"))</f>
        <v>No</v>
      </c>
      <c r="AJ42" s="5" t="str">
        <f>IF(ISNUMBER(SEARCH("High",AJ1)), $AJ$19/0.1, IF(ISNUMBER(SEARCH("Low",AJ1)), $AJ$19/0.025, "No"))</f>
        <v>No</v>
      </c>
      <c r="AK42" s="5" t="str">
        <f>IF(ISNUMBER(SEARCH("High",AK1)), $AK$19/0.1, IF(ISNUMBER(SEARCH("Low",AK1)), $AK$19/0.025, "No"))</f>
        <v>No</v>
      </c>
      <c r="AL42" s="5" t="str">
        <f>IF(ISNUMBER(SEARCH("High",AL1)), $AL$19/0.1, IF(ISNUMBER(SEARCH("Low",AL1)), $AL$19/0.025, "No"))</f>
        <v>No</v>
      </c>
      <c r="AM42" s="5">
        <f>IF(ISNUMBER(SEARCH("High",AM1)), $AM$19/0.1, IF(ISNUMBER(SEARCH("Low",AM1)), $AM$19/0.025, "No"))</f>
        <v>0</v>
      </c>
      <c r="AN42" s="5">
        <f>IF(ISNUMBER(SEARCH("High",AN1)), $AN$19/0.1, IF(ISNUMBER(SEARCH("Low",AN1)), $AN$19/0.025, "No"))</f>
        <v>1.0539999999999998</v>
      </c>
      <c r="AO42" s="5" t="str">
        <f>IF(ISNUMBER(SEARCH("High",AO1)), $AO$19/0.1, IF(ISNUMBER(SEARCH("Low",AO1)), $AO$19/0.025, "No"))</f>
        <v>No</v>
      </c>
      <c r="AP42" s="5" t="str">
        <f>IF(ISNUMBER(SEARCH("High",AP1)), $AP$19/0.1, IF(ISNUMBER(SEARCH("Low",AP1)), $AP$19/0.025, "No"))</f>
        <v>No</v>
      </c>
      <c r="AQ42" s="5" t="str">
        <f>IF(ISNUMBER(SEARCH("High",AQ1)), $AQ$19/0.1, IF(ISNUMBER(SEARCH("Low",AQ1)), $AQ$19/0.025, "No"))</f>
        <v>No</v>
      </c>
      <c r="AR42" s="5" t="str">
        <f>IF(ISNUMBER(SEARCH("High",AR1)), $AR$19/0.1, IF(ISNUMBER(SEARCH("Low",AR1)), $AR$19/0.025, "No"))</f>
        <v>No</v>
      </c>
      <c r="AS42" s="5" t="str">
        <f>IF(ISNUMBER(SEARCH("High",AS1)), $AS$19/0.1, IF(ISNUMBER(SEARCH("Low",AS1)), $AS$19/0.025, "No"))</f>
        <v>No</v>
      </c>
      <c r="AT42" s="5" t="str">
        <f>IF(ISNUMBER(SEARCH("High",AT1)), $AT$19/0.1, IF(ISNUMBER(SEARCH("Low",AT1)), $AT$19/0.025, "No"))</f>
        <v>No</v>
      </c>
      <c r="AU42" s="5">
        <f>IF(ISNUMBER(SEARCH("High",AU1)), $AU$19/0.1, IF(ISNUMBER(SEARCH("Low",AU1)), $AU$19/0.025, "No"))</f>
        <v>0</v>
      </c>
      <c r="AV42" s="5">
        <f>IF(ISNUMBER(SEARCH("High",AV1)), $AV$19/0.1, IF(ISNUMBER(SEARCH("Low",AV1)), $AV$19/0.025, "No"))</f>
        <v>1.0503999999999998</v>
      </c>
    </row>
    <row r="43" spans="1:48" x14ac:dyDescent="0.2">
      <c r="A43" t="str">
        <f>$A$20</f>
        <v>11.13</v>
      </c>
      <c r="B43" t="str">
        <f>$B$20</f>
        <v>CBT</v>
      </c>
      <c r="C43" t="str">
        <f>$C$20</f>
        <v>Compou
nd
Amount</v>
      </c>
      <c r="D43" s="5">
        <f>IF(ISNUMBER(SEARCH("High",D1)), $D$20/0.1, IF(ISNUMBER(SEARCH("Low",D1)), $D$20/0.025, "No"))</f>
        <v>0</v>
      </c>
      <c r="E43" s="5">
        <f>IF(ISNUMBER(SEARCH("High",E1)), $E$20/0.1, IF(ISNUMBER(SEARCH("Low",E1)), $E$20/0.025, "No"))</f>
        <v>1.1663999999999999</v>
      </c>
      <c r="F43" s="5" t="str">
        <f>IF(ISNUMBER(SEARCH("High",F1)), $F$20/0.1, IF(ISNUMBER(SEARCH("Low",F1)), $F$20/0.025, "No"))</f>
        <v>No</v>
      </c>
      <c r="G43" s="5" t="str">
        <f>IF(ISNUMBER(SEARCH("High",G1)), $G$20/0.1, IF(ISNUMBER(SEARCH("Low",G1)), $G$20/0.025, "No"))</f>
        <v>No</v>
      </c>
      <c r="H43" s="5" t="str">
        <f>IF(ISNUMBER(SEARCH("High",H1)), $H$20/0.1, IF(ISNUMBER(SEARCH("Low",H1)), $H$20/0.025, "No"))</f>
        <v>No</v>
      </c>
      <c r="I43" s="5" t="str">
        <f>IF(ISNUMBER(SEARCH("High",I1)), $I$20/0.1, IF(ISNUMBER(SEARCH("Low",I1)), $I$20/0.025, "No"))</f>
        <v>No</v>
      </c>
      <c r="J43" s="5" t="str">
        <f>IF(ISNUMBER(SEARCH("High",J1)), $J$20/0.1, IF(ISNUMBER(SEARCH("Low",J1)), $J$20/0.025, "No"))</f>
        <v>No</v>
      </c>
      <c r="K43" s="5" t="str">
        <f>IF(ISNUMBER(SEARCH("High",K1)), $K$20/0.1, IF(ISNUMBER(SEARCH("Low",K1)), $K$20/0.025, "No"))</f>
        <v>No</v>
      </c>
      <c r="L43" s="5" t="str">
        <f>IF(ISNUMBER(SEARCH("High",L1)), $L$20/0.1, IF(ISNUMBER(SEARCH("Low",L1)), $L$20/0.025, "No"))</f>
        <v>No</v>
      </c>
      <c r="M43" s="5" t="str">
        <f>IF(ISNUMBER(SEARCH("High",M1)), $M$20/0.1, IF(ISNUMBER(SEARCH("Low",M1)), $M$20/0.025, "No"))</f>
        <v>No</v>
      </c>
      <c r="N43" s="5" t="str">
        <f>IF(ISNUMBER(SEARCH("High",N1)), $N$20/0.1, IF(ISNUMBER(SEARCH("Low",N1)), $N$20/0.025, "No"))</f>
        <v>No</v>
      </c>
      <c r="O43" s="5" t="str">
        <f>IF(ISNUMBER(SEARCH("High",O1)), $O$20/0.1, IF(ISNUMBER(SEARCH("Low",O1)), $O$20/0.025, "No"))</f>
        <v>No</v>
      </c>
      <c r="P43" s="5" t="str">
        <f>IF(ISNUMBER(SEARCH("High",P1)), $P$20/0.1, IF(ISNUMBER(SEARCH("Low",P1)), $P$20/0.025, "No"))</f>
        <v>No</v>
      </c>
      <c r="Q43" s="5" t="str">
        <f>IF(ISNUMBER(SEARCH("High",Q1)), $Q$20/0.1, IF(ISNUMBER(SEARCH("Low",Q1)), $Q$20/0.025, "No"))</f>
        <v>No</v>
      </c>
      <c r="R43" s="5">
        <f>IF(ISNUMBER(SEARCH("High",R1)), $R$20/0.1, IF(ISNUMBER(SEARCH("Low",R1)), $R$20/0.025, "No"))</f>
        <v>1.1576</v>
      </c>
      <c r="S43" s="5" t="str">
        <f>IF(ISNUMBER(SEARCH("High",S1)), $S$20/0.1, IF(ISNUMBER(SEARCH("Low",S1)), $S$20/0.025, "No"))</f>
        <v>No</v>
      </c>
      <c r="T43" s="5" t="str">
        <f>IF(ISNUMBER(SEARCH("High",T1)), $T$20/0.1, IF(ISNUMBER(SEARCH("Low",T1)), $T$20/0.025, "No"))</f>
        <v>No</v>
      </c>
      <c r="U43" s="5" t="str">
        <f>IF(ISNUMBER(SEARCH("High",U1)), $U$20/0.1, IF(ISNUMBER(SEARCH("Low",U1)), $U$20/0.025, "No"))</f>
        <v>No</v>
      </c>
      <c r="V43" s="5" t="str">
        <f>IF(ISNUMBER(SEARCH("High",V1)), $V$20/0.1, IF(ISNUMBER(SEARCH("Low",V1)), $V$20/0.025, "No"))</f>
        <v>No</v>
      </c>
      <c r="W43" s="5" t="str">
        <f>IF(ISNUMBER(SEARCH("High",W1)), $W$20/0.1, IF(ISNUMBER(SEARCH("Low",W1)), $W$20/0.025, "No"))</f>
        <v>No</v>
      </c>
      <c r="X43" s="5" t="str">
        <f>IF(ISNUMBER(SEARCH("High",X1)), $X$20/0.1, IF(ISNUMBER(SEARCH("Low",X1)), $X$20/0.025, "No"))</f>
        <v>No</v>
      </c>
      <c r="Y43" s="5" t="str">
        <f>IF(ISNUMBER(SEARCH("High",Y1)), $Y$20/0.1, IF(ISNUMBER(SEARCH("Low",Y1)), $Y$20/0.025, "No"))</f>
        <v>No</v>
      </c>
      <c r="Z43" s="5" t="str">
        <f>IF(ISNUMBER(SEARCH("High",Z1)), $Z$20/0.1, IF(ISNUMBER(SEARCH("Low",Z1)), $Z$20/0.025, "No"))</f>
        <v>No</v>
      </c>
      <c r="AA43" s="5">
        <f>IF(ISNUMBER(SEARCH("High",AA1)), $AA$20/0.1, IF(ISNUMBER(SEARCH("Low",AA1)), $AA$20/0.025, "No"))</f>
        <v>0</v>
      </c>
      <c r="AB43" s="5">
        <f>IF(ISNUMBER(SEARCH("High",AB1)), $AB$20/0.1, IF(ISNUMBER(SEARCH("Low",AB1)), $AB$20/0.025, "No"))</f>
        <v>1.1491999999999998</v>
      </c>
      <c r="AC43" s="5" t="str">
        <f>IF(ISNUMBER(SEARCH("High",AC1)), $AC$20/0.1, IF(ISNUMBER(SEARCH("Low",AC1)), $AC$20/0.025, "No"))</f>
        <v>No</v>
      </c>
      <c r="AD43" s="5" t="str">
        <f>IF(ISNUMBER(SEARCH("High",AD1)), $AD$20/0.1, IF(ISNUMBER(SEARCH("Low",AD1)), $AD$20/0.025, "No"))</f>
        <v>No</v>
      </c>
      <c r="AE43" s="5" t="str">
        <f>IF(ISNUMBER(SEARCH("High",AE1)), $AE$20/0.1, IF(ISNUMBER(SEARCH("Low",AE1)), $AE$20/0.025, "No"))</f>
        <v>No</v>
      </c>
      <c r="AF43" s="5" t="str">
        <f>IF(ISNUMBER(SEARCH("High",AF1)), $AF$20/0.1, IF(ISNUMBER(SEARCH("Low",AF1)), $AF$20/0.025, "No"))</f>
        <v>No</v>
      </c>
      <c r="AG43" s="5" t="str">
        <f>IF(ISNUMBER(SEARCH("High",AG1)), $AG$20/0.1, IF(ISNUMBER(SEARCH("Low",AG1)), $AG$20/0.025, "No"))</f>
        <v>No</v>
      </c>
      <c r="AH43" s="5" t="str">
        <f>IF(ISNUMBER(SEARCH("High",AH1)), $AH$20/0.1, IF(ISNUMBER(SEARCH("Low",AH1)), $AH$20/0.025, "No"))</f>
        <v>No</v>
      </c>
      <c r="AI43" s="5" t="str">
        <f>IF(ISNUMBER(SEARCH("High",AI1)), $AI$20/0.1, IF(ISNUMBER(SEARCH("Low",AI1)), $AI$20/0.025, "No"))</f>
        <v>No</v>
      </c>
      <c r="AJ43" s="5" t="str">
        <f>IF(ISNUMBER(SEARCH("High",AJ1)), $AJ$20/0.1, IF(ISNUMBER(SEARCH("Low",AJ1)), $AJ$20/0.025, "No"))</f>
        <v>No</v>
      </c>
      <c r="AK43" s="5" t="str">
        <f>IF(ISNUMBER(SEARCH("High",AK1)), $AK$20/0.1, IF(ISNUMBER(SEARCH("Low",AK1)), $AK$20/0.025, "No"))</f>
        <v>No</v>
      </c>
      <c r="AL43" s="5" t="str">
        <f>IF(ISNUMBER(SEARCH("High",AL1)), $AL$20/0.1, IF(ISNUMBER(SEARCH("Low",AL1)), $AL$20/0.025, "No"))</f>
        <v>No</v>
      </c>
      <c r="AM43" s="5">
        <f>IF(ISNUMBER(SEARCH("High",AM1)), $AM$20/0.1, IF(ISNUMBER(SEARCH("Low",AM1)), $AM$20/0.025, "No"))</f>
        <v>0</v>
      </c>
      <c r="AN43" s="5">
        <f>IF(ISNUMBER(SEARCH("High",AN1)), $AN$20/0.1, IF(ISNUMBER(SEARCH("Low",AN1)), $AN$20/0.025, "No"))</f>
        <v>1.1572</v>
      </c>
      <c r="AO43" s="5" t="str">
        <f>IF(ISNUMBER(SEARCH("High",AO1)), $AO$20/0.1, IF(ISNUMBER(SEARCH("Low",AO1)), $AO$20/0.025, "No"))</f>
        <v>No</v>
      </c>
      <c r="AP43" s="5" t="str">
        <f>IF(ISNUMBER(SEARCH("High",AP1)), $AP$20/0.1, IF(ISNUMBER(SEARCH("Low",AP1)), $AP$20/0.025, "No"))</f>
        <v>No</v>
      </c>
      <c r="AQ43" s="5" t="str">
        <f>IF(ISNUMBER(SEARCH("High",AQ1)), $AQ$20/0.1, IF(ISNUMBER(SEARCH("Low",AQ1)), $AQ$20/0.025, "No"))</f>
        <v>No</v>
      </c>
      <c r="AR43" s="5" t="str">
        <f>IF(ISNUMBER(SEARCH("High",AR1)), $AR$20/0.1, IF(ISNUMBER(SEARCH("Low",AR1)), $AR$20/0.025, "No"))</f>
        <v>No</v>
      </c>
      <c r="AS43" s="5" t="str">
        <f>IF(ISNUMBER(SEARCH("High",AS1)), $AS$20/0.1, IF(ISNUMBER(SEARCH("Low",AS1)), $AS$20/0.025, "No"))</f>
        <v>No</v>
      </c>
      <c r="AT43" s="5" t="str">
        <f>IF(ISNUMBER(SEARCH("High",AT1)), $AT$20/0.1, IF(ISNUMBER(SEARCH("Low",AT1)), $AT$20/0.025, "No"))</f>
        <v>No</v>
      </c>
      <c r="AU43" s="5">
        <f>IF(ISNUMBER(SEARCH("High",AU1)), $AU$20/0.1, IF(ISNUMBER(SEARCH("Low",AU1)), $AU$20/0.025, "No"))</f>
        <v>0</v>
      </c>
      <c r="AV43" s="5">
        <f>IF(ISNUMBER(SEARCH("High",AV1)), $AV$20/0.1, IF(ISNUMBER(SEARCH("Low",AV1)), $AV$20/0.025, "No"))</f>
        <v>1.1443999999999999</v>
      </c>
    </row>
    <row r="44" spans="1:48" x14ac:dyDescent="0.2">
      <c r="A44" t="str">
        <f>$A$21</f>
        <v>1.68</v>
      </c>
      <c r="B44" t="str">
        <f>$B$21</f>
        <v>BzP</v>
      </c>
      <c r="C44" t="str">
        <f>$C$21</f>
        <v>Compou
nd
Amount</v>
      </c>
      <c r="D44" s="5">
        <f>IF(ISNUMBER(SEARCH("High",D1)), $D$21/0.1, IF(ISNUMBER(SEARCH("Low",D1)), $D$21/0.1, "No"))</f>
        <v>0.96310000000000007</v>
      </c>
      <c r="E44" s="5">
        <f>IF(ISNUMBER(SEARCH("High",E1)), $E$21/0.1, IF(ISNUMBER(SEARCH("Low",E1)), $E$21/0.1, "No"))</f>
        <v>1.0459999999999998</v>
      </c>
      <c r="F44" s="5" t="str">
        <f>IF(ISNUMBER(SEARCH("High",F1)), $F$21/0.1, IF(ISNUMBER(SEARCH("Low",F1)), $F$21/0.1, "No"))</f>
        <v>No</v>
      </c>
      <c r="G44" s="5" t="str">
        <f>IF(ISNUMBER(SEARCH("High",G1)), $G$21/0.1, IF(ISNUMBER(SEARCH("Low",G1)), $G$21/0.1, "No"))</f>
        <v>No</v>
      </c>
      <c r="H44" s="5" t="str">
        <f>IF(ISNUMBER(SEARCH("High",H1)), $H$21/0.1, IF(ISNUMBER(SEARCH("Low",H1)), $H$21/0.1, "No"))</f>
        <v>No</v>
      </c>
      <c r="I44" s="5" t="str">
        <f>IF(ISNUMBER(SEARCH("High",I1)), $I$21/0.1, IF(ISNUMBER(SEARCH("Low",I1)), $I$21/0.1, "No"))</f>
        <v>No</v>
      </c>
      <c r="J44" s="5" t="str">
        <f>IF(ISNUMBER(SEARCH("High",J1)), $J$21/0.1, IF(ISNUMBER(SEARCH("Low",J1)), $J$21/0.1, "No"))</f>
        <v>No</v>
      </c>
      <c r="K44" s="5" t="str">
        <f>IF(ISNUMBER(SEARCH("High",K1)), $K$21/0.1, IF(ISNUMBER(SEARCH("Low",K1)), $K$21/0.1, "No"))</f>
        <v>No</v>
      </c>
      <c r="L44" s="5" t="str">
        <f>IF(ISNUMBER(SEARCH("High",L1)), $L$21/0.1, IF(ISNUMBER(SEARCH("Low",L1)), $L$21/0.1, "No"))</f>
        <v>No</v>
      </c>
      <c r="M44" s="5" t="str">
        <f>IF(ISNUMBER(SEARCH("High",M1)), $M$21/0.1, IF(ISNUMBER(SEARCH("Low",M1)), $M$21/0.1, "No"))</f>
        <v>No</v>
      </c>
      <c r="N44" s="5" t="str">
        <f>IF(ISNUMBER(SEARCH("High",N1)), $N$21/0.1, IF(ISNUMBER(SEARCH("Low",N1)), $N$21/0.1, "No"))</f>
        <v>No</v>
      </c>
      <c r="O44" s="5" t="str">
        <f>IF(ISNUMBER(SEARCH("High",O1)), $O$21/0.1, IF(ISNUMBER(SEARCH("Low",O1)), $O$21/0.1, "No"))</f>
        <v>No</v>
      </c>
      <c r="P44" s="5" t="str">
        <f>IF(ISNUMBER(SEARCH("High",P1)), $P$21/0.1, IF(ISNUMBER(SEARCH("Low",P1)), $P$21/0.1, "No"))</f>
        <v>No</v>
      </c>
      <c r="Q44" s="5" t="str">
        <f>IF(ISNUMBER(SEARCH("High",Q1)), $Q$21/0.1, IF(ISNUMBER(SEARCH("Low",Q1)), $Q$21/0.1, "No"))</f>
        <v>No</v>
      </c>
      <c r="R44" s="5">
        <f>IF(ISNUMBER(SEARCH("High",R1)), $R$21/0.1, IF(ISNUMBER(SEARCH("Low",R1)), $R$21/0.1, "No"))</f>
        <v>1.071</v>
      </c>
      <c r="S44" s="5" t="str">
        <f>IF(ISNUMBER(SEARCH("High",S1)), $S$21/0.1, IF(ISNUMBER(SEARCH("Low",S1)), $S$21/0.1, "No"))</f>
        <v>No</v>
      </c>
      <c r="T44" s="5" t="str">
        <f>IF(ISNUMBER(SEARCH("High",T1)), $T$21/0.1, IF(ISNUMBER(SEARCH("Low",T1)), $T$21/0.1, "No"))</f>
        <v>No</v>
      </c>
      <c r="U44" s="5" t="str">
        <f>IF(ISNUMBER(SEARCH("High",U1)), $U$21/0.1, IF(ISNUMBER(SEARCH("Low",U1)), $U$21/0.1, "No"))</f>
        <v>No</v>
      </c>
      <c r="V44" s="5" t="str">
        <f>IF(ISNUMBER(SEARCH("High",V1)), $V$21/0.1, IF(ISNUMBER(SEARCH("Low",V1)), $V$21/0.1, "No"))</f>
        <v>No</v>
      </c>
      <c r="W44" s="5" t="str">
        <f>IF(ISNUMBER(SEARCH("High",W1)), $W$21/0.1, IF(ISNUMBER(SEARCH("Low",W1)), $W$21/0.1, "No"))</f>
        <v>No</v>
      </c>
      <c r="X44" s="5" t="str">
        <f>IF(ISNUMBER(SEARCH("High",X1)), $X$21/0.1, IF(ISNUMBER(SEARCH("Low",X1)), $X$21/0.1, "No"))</f>
        <v>No</v>
      </c>
      <c r="Y44" s="5" t="str">
        <f>IF(ISNUMBER(SEARCH("High",Y1)), $Y$21/0.1, IF(ISNUMBER(SEARCH("Low",Y1)), $Y$21/0.1, "No"))</f>
        <v>No</v>
      </c>
      <c r="Z44" s="5" t="str">
        <f>IF(ISNUMBER(SEARCH("High",Z1)), $Z$21/0.1, IF(ISNUMBER(SEARCH("Low",Z1)), $Z$21/0.1, "No"))</f>
        <v>No</v>
      </c>
      <c r="AA44" s="5">
        <f>IF(ISNUMBER(SEARCH("High",AA1)), $AA$21/0.1, IF(ISNUMBER(SEARCH("Low",AA1)), $AA$21/0.1, "No"))</f>
        <v>0.99299999999999999</v>
      </c>
      <c r="AB44" s="5">
        <f>IF(ISNUMBER(SEARCH("High",AB1)), $AB$21/0.1, IF(ISNUMBER(SEARCH("Low",AB1)), $AB$21/0.1, "No"))</f>
        <v>1.0820000000000001</v>
      </c>
      <c r="AC44" s="5" t="str">
        <f>IF(ISNUMBER(SEARCH("High",AC1)), $AC$21/0.1, IF(ISNUMBER(SEARCH("Low",AC1)), $AC$21/0.1, "No"))</f>
        <v>No</v>
      </c>
      <c r="AD44" s="5" t="str">
        <f>IF(ISNUMBER(SEARCH("High",AD1)), $AD$21/0.1, IF(ISNUMBER(SEARCH("Low",AD1)), $AD$21/0.1, "No"))</f>
        <v>No</v>
      </c>
      <c r="AE44" s="5" t="str">
        <f>IF(ISNUMBER(SEARCH("High",AE1)), $AE$21/0.1, IF(ISNUMBER(SEARCH("Low",AE1)), $AE$21/0.1, "No"))</f>
        <v>No</v>
      </c>
      <c r="AF44" s="5" t="str">
        <f>IF(ISNUMBER(SEARCH("High",AF1)), $AF$21/0.1, IF(ISNUMBER(SEARCH("Low",AF1)), $AF$21/0.1, "No"))</f>
        <v>No</v>
      </c>
      <c r="AG44" s="5" t="str">
        <f>IF(ISNUMBER(SEARCH("High",AG1)), $AG$21/0.1, IF(ISNUMBER(SEARCH("Low",AG1)), $AG$21/0.1, "No"))</f>
        <v>No</v>
      </c>
      <c r="AH44" s="5" t="str">
        <f>IF(ISNUMBER(SEARCH("High",AH1)), $AH$21/0.1, IF(ISNUMBER(SEARCH("Low",AH1)), $AH$21/0.1, "No"))</f>
        <v>No</v>
      </c>
      <c r="AI44" s="5" t="str">
        <f>IF(ISNUMBER(SEARCH("High",AI1)), $AI$21/0.1, IF(ISNUMBER(SEARCH("Low",AI1)), $AI$21/0.1, "No"))</f>
        <v>No</v>
      </c>
      <c r="AJ44" s="5" t="str">
        <f>IF(ISNUMBER(SEARCH("High",AJ1)), $AJ$21/0.1, IF(ISNUMBER(SEARCH("Low",AJ1)), $AJ$21/0.1, "No"))</f>
        <v>No</v>
      </c>
      <c r="AK44" s="5" t="str">
        <f>IF(ISNUMBER(SEARCH("High",AK1)), $AK$21/0.1, IF(ISNUMBER(SEARCH("Low",AK1)), $AK$21/0.1, "No"))</f>
        <v>No</v>
      </c>
      <c r="AL44" s="5" t="str">
        <f>IF(ISNUMBER(SEARCH("High",AL1)), $AL$21/0.1, IF(ISNUMBER(SEARCH("Low",AL1)), $AL$21/0.1, "No"))</f>
        <v>No</v>
      </c>
      <c r="AM44" s="5">
        <f>IF(ISNUMBER(SEARCH("High",AM1)), $AM$21/0.1, IF(ISNUMBER(SEARCH("Low",AM1)), $AM$21/0.1, "No"))</f>
        <v>1.0089999999999999</v>
      </c>
      <c r="AN44" s="5">
        <f>IF(ISNUMBER(SEARCH("High",AN1)), $AN$21/0.1, IF(ISNUMBER(SEARCH("Low",AN1)), $AN$21/0.1, "No"))</f>
        <v>1.0839999999999999</v>
      </c>
      <c r="AO44" s="5" t="str">
        <f>IF(ISNUMBER(SEARCH("High",AO1)), $AO$21/0.1, IF(ISNUMBER(SEARCH("Low",AO1)), $AO$21/0.1, "No"))</f>
        <v>No</v>
      </c>
      <c r="AP44" s="5" t="str">
        <f>IF(ISNUMBER(SEARCH("High",AP1)), $AP$21/0.1, IF(ISNUMBER(SEARCH("Low",AP1)), $AP$21/0.1, "No"))</f>
        <v>No</v>
      </c>
      <c r="AQ44" s="5" t="str">
        <f>IF(ISNUMBER(SEARCH("High",AQ1)), $AQ$21/0.1, IF(ISNUMBER(SEARCH("Low",AQ1)), $AQ$21/0.1, "No"))</f>
        <v>No</v>
      </c>
      <c r="AR44" s="5" t="str">
        <f>IF(ISNUMBER(SEARCH("High",AR1)), $AR$21/0.1, IF(ISNUMBER(SEARCH("Low",AR1)), $AR$21/0.1, "No"))</f>
        <v>No</v>
      </c>
      <c r="AS44" s="5" t="str">
        <f>IF(ISNUMBER(SEARCH("High",AS1)), $AS$21/0.1, IF(ISNUMBER(SEARCH("Low",AS1)), $AS$21/0.1, "No"))</f>
        <v>No</v>
      </c>
      <c r="AT44" s="5" t="str">
        <f>IF(ISNUMBER(SEARCH("High",AT1)), $AT$21/0.1, IF(ISNUMBER(SEARCH("Low",AT1)), $AT$21/0.1, "No"))</f>
        <v>No</v>
      </c>
      <c r="AU44" s="5">
        <f>IF(ISNUMBER(SEARCH("High",AU1)), $AU$21/0.1, IF(ISNUMBER(SEARCH("Low",AU1)), $AU$21/0.1, "No"))</f>
        <v>1.0109999999999999</v>
      </c>
      <c r="AV44" s="5">
        <f>IF(ISNUMBER(SEARCH("High",AV1)), $AV$21/0.1, IF(ISNUMBER(SEARCH("Low",AV1)), $AV$21/0.1, "No"))</f>
        <v>1.087</v>
      </c>
    </row>
  </sheetData>
  <mergeCells count="1">
    <mergeCell ref="A1:C1"/>
  </mergeCells>
  <conditionalFormatting sqref="D25:AV44">
    <cfRule type="cellIs" dxfId="111" priority="1" stopIfTrue="1" operator="greaterThan">
      <formula>1.2</formula>
    </cfRule>
    <cfRule type="cellIs" dxfId="110" priority="2" stopIfTrue="1" operator="lessThan">
      <formula>0.8</formula>
    </cfRule>
    <cfRule type="cellIs" dxfId="109" priority="3" stopIfTrue="1" operator="between">
      <formula>0.8</formula>
      <formula>1.2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3571-07FE-45C5-B25A-49949E318608}">
  <dimension ref="A1:AR20"/>
  <sheetViews>
    <sheetView workbookViewId="0">
      <selection sqref="A1:AR20"/>
    </sheetView>
  </sheetViews>
  <sheetFormatPr defaultRowHeight="14.25" x14ac:dyDescent="0.2"/>
  <sheetData>
    <row r="1" spans="1:44" ht="33.75" x14ac:dyDescent="0.2">
      <c r="A1" s="13"/>
      <c r="B1" s="13"/>
      <c r="C1" s="13"/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25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25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25</v>
      </c>
      <c r="AL1" s="4" t="s">
        <v>56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25</v>
      </c>
    </row>
    <row r="2" spans="1:44" x14ac:dyDescent="0.2">
      <c r="A2" s="4" t="s">
        <v>79</v>
      </c>
      <c r="B2" s="4" t="s">
        <v>80</v>
      </c>
      <c r="C2" s="3" t="s">
        <v>443</v>
      </c>
      <c r="D2" s="1">
        <v>459</v>
      </c>
      <c r="E2" s="1">
        <v>3.883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396.7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383.3</v>
      </c>
      <c r="AA2" s="1">
        <v>31.54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380.7</v>
      </c>
      <c r="AL2" s="1">
        <v>3.645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379.5</v>
      </c>
    </row>
    <row r="3" spans="1:44" x14ac:dyDescent="0.2">
      <c r="A3" s="4" t="s">
        <v>89</v>
      </c>
      <c r="B3" s="4" t="s">
        <v>90</v>
      </c>
      <c r="C3" s="3" t="s">
        <v>443</v>
      </c>
      <c r="D3" s="1">
        <v>249.8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217.6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211.9</v>
      </c>
      <c r="AA3" s="1">
        <v>15.4</v>
      </c>
      <c r="AB3" s="1">
        <v>0</v>
      </c>
      <c r="AC3" s="1">
        <v>2.8919999999999999</v>
      </c>
      <c r="AD3" s="1">
        <v>3.1360000000000001</v>
      </c>
      <c r="AE3" s="1">
        <v>2.5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210.9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210.3</v>
      </c>
    </row>
    <row r="4" spans="1:44" x14ac:dyDescent="0.2">
      <c r="A4" s="4" t="s">
        <v>100</v>
      </c>
      <c r="B4" s="4" t="s">
        <v>101</v>
      </c>
      <c r="C4" s="3" t="s">
        <v>443</v>
      </c>
      <c r="D4" s="1">
        <v>418.3</v>
      </c>
      <c r="E4" s="1">
        <v>126.4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361.4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349.1</v>
      </c>
      <c r="AA4" s="1">
        <v>913.2</v>
      </c>
      <c r="AB4" s="1">
        <v>6.1059999999999999</v>
      </c>
      <c r="AC4" s="1">
        <v>5.7510000000000003</v>
      </c>
      <c r="AD4" s="1">
        <v>9.1069999999999993</v>
      </c>
      <c r="AE4" s="1">
        <v>6.6559999999999997</v>
      </c>
      <c r="AF4" s="1">
        <v>0</v>
      </c>
      <c r="AG4" s="1">
        <v>0</v>
      </c>
      <c r="AH4" s="1">
        <v>0</v>
      </c>
      <c r="AI4" s="1">
        <v>0</v>
      </c>
      <c r="AJ4" s="1">
        <v>4.4509999999999996</v>
      </c>
      <c r="AK4" s="1">
        <v>346.8</v>
      </c>
      <c r="AL4" s="1">
        <v>118.4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345.6</v>
      </c>
    </row>
    <row r="5" spans="1:44" x14ac:dyDescent="0.2">
      <c r="A5" s="4" t="s">
        <v>119</v>
      </c>
      <c r="B5" s="4" t="s">
        <v>120</v>
      </c>
      <c r="C5" s="3" t="s">
        <v>443</v>
      </c>
      <c r="D5" s="1">
        <v>423.9</v>
      </c>
      <c r="E5" s="1">
        <v>2.8069999999999999</v>
      </c>
      <c r="F5" s="1">
        <v>4.3840000000000003</v>
      </c>
      <c r="G5" s="1">
        <v>4.1059999999999999</v>
      </c>
      <c r="H5" s="1">
        <v>4.0999999999999996</v>
      </c>
      <c r="I5" s="1">
        <v>4.1710000000000003</v>
      </c>
      <c r="J5" s="1">
        <v>3.92</v>
      </c>
      <c r="K5" s="1">
        <v>4.7930000000000001</v>
      </c>
      <c r="L5" s="1">
        <v>3.6539999999999999</v>
      </c>
      <c r="M5" s="1">
        <v>4.2839999999999998</v>
      </c>
      <c r="N5" s="1">
        <v>4.5949999999999998</v>
      </c>
      <c r="O5" s="1">
        <v>4.6920000000000002</v>
      </c>
      <c r="P5" s="1">
        <v>3.4430000000000001</v>
      </c>
      <c r="Q5" s="1">
        <v>365.3</v>
      </c>
      <c r="R5" s="1">
        <v>4.0049999999999999</v>
      </c>
      <c r="S5" s="1">
        <v>3.9489999999999998</v>
      </c>
      <c r="T5" s="1">
        <v>4.069</v>
      </c>
      <c r="U5" s="1">
        <v>4.2270000000000003</v>
      </c>
      <c r="V5" s="1">
        <v>4.0759999999999996</v>
      </c>
      <c r="W5" s="1">
        <v>3.1840000000000002</v>
      </c>
      <c r="X5" s="1">
        <v>4.0979999999999999</v>
      </c>
      <c r="Y5" s="1">
        <v>3.7829999999999999</v>
      </c>
      <c r="Z5" s="1">
        <v>352.8</v>
      </c>
      <c r="AA5" s="1">
        <v>21.62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350.6</v>
      </c>
      <c r="AL5" s="1">
        <v>2.589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349.4</v>
      </c>
    </row>
    <row r="6" spans="1:44" x14ac:dyDescent="0.2">
      <c r="A6" s="4" t="s">
        <v>146</v>
      </c>
      <c r="B6" s="4" t="s">
        <v>147</v>
      </c>
      <c r="C6" s="3" t="s">
        <v>443</v>
      </c>
      <c r="D6" s="1">
        <v>232.2</v>
      </c>
      <c r="E6" s="1">
        <v>2.8860000000000001</v>
      </c>
      <c r="F6" s="1">
        <v>27.9</v>
      </c>
      <c r="G6" s="1">
        <v>27.31</v>
      </c>
      <c r="H6" s="1">
        <v>26.41</v>
      </c>
      <c r="I6" s="1">
        <v>27.14</v>
      </c>
      <c r="J6" s="1">
        <v>24.74</v>
      </c>
      <c r="K6" s="1">
        <v>30.76</v>
      </c>
      <c r="L6" s="1">
        <v>27.12</v>
      </c>
      <c r="M6" s="1">
        <v>28.03</v>
      </c>
      <c r="N6" s="1">
        <v>29.28</v>
      </c>
      <c r="O6" s="1">
        <v>28.54</v>
      </c>
      <c r="P6" s="1">
        <v>24.84</v>
      </c>
      <c r="Q6" s="1">
        <v>201.6</v>
      </c>
      <c r="R6" s="1">
        <v>25.86</v>
      </c>
      <c r="S6" s="1">
        <v>25.86</v>
      </c>
      <c r="T6" s="1">
        <v>29.49</v>
      </c>
      <c r="U6" s="1">
        <v>25.64</v>
      </c>
      <c r="V6" s="1">
        <v>26.7</v>
      </c>
      <c r="W6" s="1">
        <v>25.46</v>
      </c>
      <c r="X6" s="1">
        <v>26.68</v>
      </c>
      <c r="Y6" s="1">
        <v>24.79</v>
      </c>
      <c r="Z6" s="1">
        <v>195.8</v>
      </c>
      <c r="AA6" s="1">
        <v>22.55</v>
      </c>
      <c r="AB6" s="1">
        <v>132</v>
      </c>
      <c r="AC6" s="1">
        <v>125.6</v>
      </c>
      <c r="AD6" s="1">
        <v>138</v>
      </c>
      <c r="AE6" s="1">
        <v>142.4</v>
      </c>
      <c r="AF6" s="1">
        <v>14.68</v>
      </c>
      <c r="AG6" s="1">
        <v>13.37</v>
      </c>
      <c r="AH6" s="1">
        <v>13.3</v>
      </c>
      <c r="AI6" s="1">
        <v>21.28</v>
      </c>
      <c r="AJ6" s="1">
        <v>61.92</v>
      </c>
      <c r="AK6" s="1">
        <v>194.7</v>
      </c>
      <c r="AL6" s="1">
        <v>2.8050000000000002</v>
      </c>
      <c r="AM6" s="1">
        <v>35.74</v>
      </c>
      <c r="AN6" s="1">
        <v>42.47</v>
      </c>
      <c r="AO6" s="1">
        <v>35.270000000000003</v>
      </c>
      <c r="AP6" s="1">
        <v>37.6</v>
      </c>
      <c r="AQ6" s="1">
        <v>22.08</v>
      </c>
      <c r="AR6" s="1">
        <v>194.3</v>
      </c>
    </row>
    <row r="7" spans="1:44" x14ac:dyDescent="0.2">
      <c r="A7" s="4" t="s">
        <v>187</v>
      </c>
      <c r="B7" s="4" t="s">
        <v>188</v>
      </c>
      <c r="C7" s="3" t="s">
        <v>443</v>
      </c>
      <c r="D7" s="1">
        <v>228.4</v>
      </c>
      <c r="E7" s="1">
        <v>93.16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199.3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193.9</v>
      </c>
      <c r="AA7" s="1">
        <v>750.3</v>
      </c>
      <c r="AB7" s="1">
        <v>12.64</v>
      </c>
      <c r="AC7" s="1">
        <v>12.11</v>
      </c>
      <c r="AD7" s="1">
        <v>13.48</v>
      </c>
      <c r="AE7" s="1">
        <v>14.07</v>
      </c>
      <c r="AF7" s="1">
        <v>0</v>
      </c>
      <c r="AG7" s="1">
        <v>0</v>
      </c>
      <c r="AH7" s="1">
        <v>0</v>
      </c>
      <c r="AI7" s="1">
        <v>4.3620000000000001</v>
      </c>
      <c r="AJ7" s="1">
        <v>12.21</v>
      </c>
      <c r="AK7" s="1">
        <v>192.8</v>
      </c>
      <c r="AL7" s="1">
        <v>85.6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192.4</v>
      </c>
    </row>
    <row r="8" spans="1:44" x14ac:dyDescent="0.2">
      <c r="A8" s="4" t="s">
        <v>204</v>
      </c>
      <c r="B8" s="4" t="s">
        <v>205</v>
      </c>
      <c r="C8" s="3" t="s">
        <v>443</v>
      </c>
      <c r="D8" s="1">
        <v>225.1</v>
      </c>
      <c r="E8" s="1">
        <v>0</v>
      </c>
      <c r="F8" s="1">
        <v>5.51</v>
      </c>
      <c r="G8" s="1">
        <v>5.1310000000000002</v>
      </c>
      <c r="H8" s="1">
        <v>4.7089999999999996</v>
      </c>
      <c r="I8" s="1">
        <v>5.1580000000000004</v>
      </c>
      <c r="J8" s="1">
        <v>4.8579999999999997</v>
      </c>
      <c r="K8" s="1">
        <v>5.6980000000000004</v>
      </c>
      <c r="L8" s="1">
        <v>5.0350000000000001</v>
      </c>
      <c r="M8" s="1">
        <v>5.335</v>
      </c>
      <c r="N8" s="1">
        <v>5.9379999999999997</v>
      </c>
      <c r="O8" s="1">
        <v>5.5289999999999999</v>
      </c>
      <c r="P8" s="1">
        <v>4.649</v>
      </c>
      <c r="Q8" s="1">
        <v>197.4</v>
      </c>
      <c r="R8" s="1">
        <v>4.4770000000000003</v>
      </c>
      <c r="S8" s="1">
        <v>4.8369999999999997</v>
      </c>
      <c r="T8" s="1">
        <v>5.4370000000000003</v>
      </c>
      <c r="U8" s="1">
        <v>4.7939999999999996</v>
      </c>
      <c r="V8" s="1">
        <v>4.8879999999999999</v>
      </c>
      <c r="W8" s="1">
        <v>4.5590000000000002</v>
      </c>
      <c r="X8" s="1">
        <v>5.01</v>
      </c>
      <c r="Y8" s="1">
        <v>4.6740000000000004</v>
      </c>
      <c r="Z8" s="1">
        <v>193.2</v>
      </c>
      <c r="AA8" s="1">
        <v>7.8819999999999997</v>
      </c>
      <c r="AB8" s="1">
        <v>24.48</v>
      </c>
      <c r="AC8" s="1">
        <v>23.15</v>
      </c>
      <c r="AD8" s="1">
        <v>25.41</v>
      </c>
      <c r="AE8" s="1">
        <v>26.51</v>
      </c>
      <c r="AF8" s="1">
        <v>2.4940000000000002</v>
      </c>
      <c r="AG8" s="1">
        <v>0</v>
      </c>
      <c r="AH8" s="1">
        <v>0</v>
      </c>
      <c r="AI8" s="1">
        <v>5.7939999999999996</v>
      </c>
      <c r="AJ8" s="1">
        <v>16.84</v>
      </c>
      <c r="AK8" s="1">
        <v>192.2</v>
      </c>
      <c r="AL8" s="1">
        <v>0</v>
      </c>
      <c r="AM8" s="1">
        <v>3.431</v>
      </c>
      <c r="AN8" s="1">
        <v>4.1520000000000001</v>
      </c>
      <c r="AO8" s="1">
        <v>3.6</v>
      </c>
      <c r="AP8" s="1">
        <v>3.6160000000000001</v>
      </c>
      <c r="AQ8" s="1">
        <v>4.0250000000000004</v>
      </c>
      <c r="AR8" s="1">
        <v>192.4</v>
      </c>
    </row>
    <row r="9" spans="1:44" x14ac:dyDescent="0.2">
      <c r="A9" s="4" t="s">
        <v>246</v>
      </c>
      <c r="B9" s="4" t="s">
        <v>247</v>
      </c>
      <c r="C9" s="3" t="s">
        <v>443</v>
      </c>
      <c r="D9" s="1">
        <v>406.5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352.2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340.7</v>
      </c>
      <c r="AA9" s="1">
        <v>5.1769999999999996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338.5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337.9</v>
      </c>
    </row>
    <row r="10" spans="1:44" x14ac:dyDescent="0.2">
      <c r="A10" s="4" t="s">
        <v>254</v>
      </c>
      <c r="B10" s="4" t="s">
        <v>255</v>
      </c>
      <c r="C10" s="3" t="s">
        <v>443</v>
      </c>
      <c r="D10" s="1">
        <v>554.70000000000005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483.3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471.1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469.1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469</v>
      </c>
    </row>
    <row r="11" spans="1:44" x14ac:dyDescent="0.2">
      <c r="A11" s="4" t="s">
        <v>260</v>
      </c>
      <c r="B11" s="4" t="s">
        <v>261</v>
      </c>
      <c r="C11" s="3" t="s">
        <v>443</v>
      </c>
      <c r="D11" s="1">
        <v>525.20000000000005</v>
      </c>
      <c r="E11" s="1">
        <v>0</v>
      </c>
      <c r="F11" s="1">
        <v>10.83</v>
      </c>
      <c r="G11" s="1">
        <v>10.55</v>
      </c>
      <c r="H11" s="1">
        <v>8.8580000000000005</v>
      </c>
      <c r="I11" s="1">
        <v>9.6189999999999998</v>
      </c>
      <c r="J11" s="1">
        <v>9.6950000000000003</v>
      </c>
      <c r="K11" s="1">
        <v>10.98</v>
      </c>
      <c r="L11" s="1">
        <v>9.1140000000000008</v>
      </c>
      <c r="M11" s="1">
        <v>10.65</v>
      </c>
      <c r="N11" s="1">
        <v>10.46</v>
      </c>
      <c r="O11" s="1">
        <v>10.18</v>
      </c>
      <c r="P11" s="1">
        <v>8.5289999999999999</v>
      </c>
      <c r="Q11" s="1">
        <v>458.2</v>
      </c>
      <c r="R11" s="1">
        <v>8.625</v>
      </c>
      <c r="S11" s="1">
        <v>8.2270000000000003</v>
      </c>
      <c r="T11" s="1">
        <v>9.6180000000000003</v>
      </c>
      <c r="U11" s="1">
        <v>8.8729999999999993</v>
      </c>
      <c r="V11" s="1">
        <v>8.5389999999999997</v>
      </c>
      <c r="W11" s="1">
        <v>8.6210000000000004</v>
      </c>
      <c r="X11" s="1">
        <v>8.7639999999999993</v>
      </c>
      <c r="Y11" s="1">
        <v>8.4019999999999992</v>
      </c>
      <c r="Z11" s="1">
        <v>446.8</v>
      </c>
      <c r="AA11" s="1">
        <v>14.09</v>
      </c>
      <c r="AB11" s="1">
        <v>98.8</v>
      </c>
      <c r="AC11" s="1">
        <v>93.88</v>
      </c>
      <c r="AD11" s="1">
        <v>103</v>
      </c>
      <c r="AE11" s="1">
        <v>106.6</v>
      </c>
      <c r="AF11" s="1">
        <v>11.47</v>
      </c>
      <c r="AG11" s="1">
        <v>10.39</v>
      </c>
      <c r="AH11" s="1">
        <v>10.85</v>
      </c>
      <c r="AI11" s="1">
        <v>24.94</v>
      </c>
      <c r="AJ11" s="1">
        <v>71.83</v>
      </c>
      <c r="AK11" s="1">
        <v>444.7</v>
      </c>
      <c r="AL11" s="1">
        <v>0</v>
      </c>
      <c r="AM11" s="1">
        <v>13.45</v>
      </c>
      <c r="AN11" s="1">
        <v>15.53</v>
      </c>
      <c r="AO11" s="1">
        <v>13.08</v>
      </c>
      <c r="AP11" s="1">
        <v>14.43</v>
      </c>
      <c r="AQ11" s="1">
        <v>5.2969999999999997</v>
      </c>
      <c r="AR11" s="1">
        <v>444.2</v>
      </c>
    </row>
    <row r="12" spans="1:44" x14ac:dyDescent="0.2">
      <c r="A12" s="4" t="s">
        <v>305</v>
      </c>
      <c r="B12" s="4" t="s">
        <v>306</v>
      </c>
      <c r="C12" s="3" t="s">
        <v>443</v>
      </c>
      <c r="D12" s="1">
        <v>199.4</v>
      </c>
      <c r="E12" s="1">
        <v>58.59</v>
      </c>
      <c r="F12" s="1">
        <v>658.4</v>
      </c>
      <c r="G12" s="1">
        <v>634.4</v>
      </c>
      <c r="H12" s="1">
        <v>608.4</v>
      </c>
      <c r="I12" s="1">
        <v>628.20000000000005</v>
      </c>
      <c r="J12" s="1">
        <v>580.20000000000005</v>
      </c>
      <c r="K12" s="1">
        <v>715.6</v>
      </c>
      <c r="L12" s="1">
        <v>618.9</v>
      </c>
      <c r="M12" s="1">
        <v>649.9</v>
      </c>
      <c r="N12" s="1">
        <v>678.8</v>
      </c>
      <c r="O12" s="1">
        <v>669.1</v>
      </c>
      <c r="P12" s="1">
        <v>584.5</v>
      </c>
      <c r="Q12" s="1">
        <v>173.5</v>
      </c>
      <c r="R12" s="1">
        <v>611.4</v>
      </c>
      <c r="S12" s="1">
        <v>604</v>
      </c>
      <c r="T12" s="1">
        <v>683.4</v>
      </c>
      <c r="U12" s="1">
        <v>603.1</v>
      </c>
      <c r="V12" s="1">
        <v>620.4</v>
      </c>
      <c r="W12" s="1">
        <v>584.29999999999995</v>
      </c>
      <c r="X12" s="1">
        <v>624.29999999999995</v>
      </c>
      <c r="Y12" s="1">
        <v>579.79999999999995</v>
      </c>
      <c r="Z12" s="1">
        <v>169.4</v>
      </c>
      <c r="AA12" s="1">
        <v>488.2</v>
      </c>
      <c r="AB12" s="1">
        <v>3955</v>
      </c>
      <c r="AC12" s="1">
        <v>3761</v>
      </c>
      <c r="AD12" s="1">
        <v>4117</v>
      </c>
      <c r="AE12" s="1">
        <v>4253</v>
      </c>
      <c r="AF12" s="1">
        <v>457.3</v>
      </c>
      <c r="AG12" s="1">
        <v>408.7</v>
      </c>
      <c r="AH12" s="1">
        <v>406.5</v>
      </c>
      <c r="AI12" s="1">
        <v>876.2</v>
      </c>
      <c r="AJ12" s="1">
        <v>2449</v>
      </c>
      <c r="AK12" s="1">
        <v>168.6</v>
      </c>
      <c r="AL12" s="1">
        <v>53.92</v>
      </c>
      <c r="AM12" s="1">
        <v>693.8</v>
      </c>
      <c r="AN12" s="1">
        <v>809.2</v>
      </c>
      <c r="AO12" s="1">
        <v>673</v>
      </c>
      <c r="AP12" s="1">
        <v>732</v>
      </c>
      <c r="AQ12" s="1">
        <v>761.1</v>
      </c>
      <c r="AR12" s="1">
        <v>168.1</v>
      </c>
    </row>
    <row r="13" spans="1:44" x14ac:dyDescent="0.2">
      <c r="A13" s="4" t="s">
        <v>352</v>
      </c>
      <c r="B13" s="4" t="s">
        <v>353</v>
      </c>
      <c r="C13" s="3" t="s">
        <v>443</v>
      </c>
      <c r="D13" s="1">
        <v>188.4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163.6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159.69999999999999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21.43</v>
      </c>
      <c r="AJ13" s="1">
        <v>74.34</v>
      </c>
      <c r="AK13" s="1">
        <v>158.80000000000001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158.4</v>
      </c>
    </row>
    <row r="14" spans="1:44" x14ac:dyDescent="0.2">
      <c r="A14" s="4" t="s">
        <v>364</v>
      </c>
      <c r="B14" s="4" t="s">
        <v>365</v>
      </c>
      <c r="C14" s="3" t="s">
        <v>443</v>
      </c>
      <c r="D14" s="1">
        <v>184.3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159.5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155.1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154.5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154.1</v>
      </c>
    </row>
    <row r="15" spans="1:44" x14ac:dyDescent="0.2">
      <c r="A15" s="4" t="s">
        <v>371</v>
      </c>
      <c r="B15" s="4" t="s">
        <v>372</v>
      </c>
      <c r="C15" s="3" t="s">
        <v>443</v>
      </c>
      <c r="D15" s="1">
        <v>380.4</v>
      </c>
      <c r="E15" s="1">
        <v>106.9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329.2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318.2</v>
      </c>
      <c r="AA15" s="1">
        <v>722.4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11.16</v>
      </c>
      <c r="AK15" s="1">
        <v>316.39999999999998</v>
      </c>
      <c r="AL15" s="1">
        <v>99.8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315.3</v>
      </c>
    </row>
    <row r="16" spans="1:44" x14ac:dyDescent="0.2">
      <c r="A16" s="4" t="s">
        <v>383</v>
      </c>
      <c r="B16" s="4" t="s">
        <v>384</v>
      </c>
      <c r="C16" s="3" t="s">
        <v>443</v>
      </c>
      <c r="D16" s="1">
        <v>500</v>
      </c>
      <c r="E16" s="1">
        <v>0</v>
      </c>
      <c r="F16" s="1">
        <v>21.33</v>
      </c>
      <c r="G16" s="1">
        <v>20.62</v>
      </c>
      <c r="H16" s="1">
        <v>17.059999999999999</v>
      </c>
      <c r="I16" s="1">
        <v>17.760000000000002</v>
      </c>
      <c r="J16" s="1">
        <v>16.28</v>
      </c>
      <c r="K16" s="1">
        <v>20.21</v>
      </c>
      <c r="L16" s="1">
        <v>17.5</v>
      </c>
      <c r="M16" s="1">
        <v>21.08</v>
      </c>
      <c r="N16" s="1">
        <v>19.12</v>
      </c>
      <c r="O16" s="1">
        <v>18.87</v>
      </c>
      <c r="P16" s="1">
        <v>16.57</v>
      </c>
      <c r="Q16" s="1">
        <v>435.1</v>
      </c>
      <c r="R16" s="1">
        <v>17.27</v>
      </c>
      <c r="S16" s="1">
        <v>17.18</v>
      </c>
      <c r="T16" s="1">
        <v>19.649999999999999</v>
      </c>
      <c r="U16" s="1">
        <v>17.16</v>
      </c>
      <c r="V16" s="1">
        <v>17.690000000000001</v>
      </c>
      <c r="W16" s="1">
        <v>16.739999999999998</v>
      </c>
      <c r="X16" s="1">
        <v>17.559999999999999</v>
      </c>
      <c r="Y16" s="1">
        <v>16.45</v>
      </c>
      <c r="Z16" s="1">
        <v>424</v>
      </c>
      <c r="AA16" s="1">
        <v>0</v>
      </c>
      <c r="AB16" s="1">
        <v>23.04</v>
      </c>
      <c r="AC16" s="1">
        <v>21.92</v>
      </c>
      <c r="AD16" s="1">
        <v>23.84</v>
      </c>
      <c r="AE16" s="1">
        <v>24.49</v>
      </c>
      <c r="AF16" s="1">
        <v>0</v>
      </c>
      <c r="AG16" s="1">
        <v>0</v>
      </c>
      <c r="AH16" s="1">
        <v>0</v>
      </c>
      <c r="AI16" s="1">
        <v>15.88</v>
      </c>
      <c r="AJ16" s="1">
        <v>48.54</v>
      </c>
      <c r="AK16" s="1">
        <v>422.1</v>
      </c>
      <c r="AL16" s="1">
        <v>0</v>
      </c>
      <c r="AM16" s="1">
        <v>22.95</v>
      </c>
      <c r="AN16" s="1">
        <v>26.9</v>
      </c>
      <c r="AO16" s="1">
        <v>22.28</v>
      </c>
      <c r="AP16" s="1">
        <v>24.34</v>
      </c>
      <c r="AQ16" s="1">
        <v>24.75</v>
      </c>
      <c r="AR16" s="1">
        <v>421.1</v>
      </c>
    </row>
    <row r="17" spans="1:44" x14ac:dyDescent="0.2">
      <c r="A17" s="4" t="s">
        <v>418</v>
      </c>
      <c r="B17" s="4" t="s">
        <v>419</v>
      </c>
      <c r="C17" s="3" t="s">
        <v>443</v>
      </c>
      <c r="D17" s="1">
        <v>187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161.80000000000001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156.5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155.5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154.69999999999999</v>
      </c>
    </row>
    <row r="18" spans="1:44" x14ac:dyDescent="0.2">
      <c r="A18" s="4" t="s">
        <v>424</v>
      </c>
      <c r="B18" s="4" t="s">
        <v>425</v>
      </c>
      <c r="C18" s="3" t="s">
        <v>443</v>
      </c>
      <c r="D18" s="1">
        <v>411.2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355.1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343.5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341.1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339.3</v>
      </c>
    </row>
    <row r="19" spans="1:44" x14ac:dyDescent="0.2">
      <c r="A19" s="4" t="s">
        <v>430</v>
      </c>
      <c r="B19" s="4" t="s">
        <v>431</v>
      </c>
      <c r="C19" s="3" t="s">
        <v>443</v>
      </c>
      <c r="D19" s="1">
        <v>202.4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177.4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173.1</v>
      </c>
      <c r="AA19" s="1">
        <v>3.9670000000000001</v>
      </c>
      <c r="AB19" s="1">
        <v>38.1</v>
      </c>
      <c r="AC19" s="1">
        <v>37</v>
      </c>
      <c r="AD19" s="1">
        <v>40.229999999999997</v>
      </c>
      <c r="AE19" s="1">
        <v>41.67</v>
      </c>
      <c r="AF19" s="1">
        <v>0</v>
      </c>
      <c r="AG19" s="1">
        <v>0</v>
      </c>
      <c r="AH19" s="1">
        <v>0</v>
      </c>
      <c r="AI19" s="1">
        <v>0</v>
      </c>
      <c r="AJ19" s="1">
        <v>4.1459999999999999</v>
      </c>
      <c r="AK19" s="1">
        <v>174.1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171.8</v>
      </c>
    </row>
    <row r="20" spans="1:44" x14ac:dyDescent="0.2">
      <c r="A20" s="4" t="s">
        <v>64</v>
      </c>
      <c r="B20" s="4" t="s">
        <v>65</v>
      </c>
      <c r="C20" s="3" t="s">
        <v>443</v>
      </c>
      <c r="D20" s="1">
        <v>663.7</v>
      </c>
      <c r="E20" s="1">
        <v>0</v>
      </c>
      <c r="F20" s="1">
        <v>0</v>
      </c>
      <c r="G20" s="1">
        <v>0</v>
      </c>
      <c r="H20" s="1">
        <v>4.8949999999999996</v>
      </c>
      <c r="I20" s="1">
        <v>0</v>
      </c>
      <c r="J20" s="1">
        <v>0</v>
      </c>
      <c r="K20" s="1">
        <v>3.0819999999999999</v>
      </c>
      <c r="L20" s="1">
        <v>0</v>
      </c>
      <c r="M20" s="1">
        <v>2.879</v>
      </c>
      <c r="N20" s="1">
        <v>0</v>
      </c>
      <c r="O20" s="1">
        <v>0</v>
      </c>
      <c r="P20" s="1">
        <v>0</v>
      </c>
      <c r="Q20" s="1">
        <v>600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595.9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8.718</v>
      </c>
      <c r="AJ20" s="1">
        <v>0</v>
      </c>
      <c r="AK20" s="1">
        <v>596.4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596.70000000000005</v>
      </c>
    </row>
  </sheetData>
  <mergeCells count="1">
    <mergeCell ref="A1:C1"/>
  </mergeCells>
  <conditionalFormatting sqref="D2:AR2">
    <cfRule type="cellIs" dxfId="108" priority="35" operator="lessThan">
      <formula>1474.69995117187</formula>
    </cfRule>
    <cfRule type="cellIs" dxfId="107" priority="36" operator="greaterThan">
      <formula>1474.69995117187</formula>
    </cfRule>
  </conditionalFormatting>
  <conditionalFormatting sqref="D3:AR3">
    <cfRule type="cellIs" dxfId="106" priority="33" operator="lessThan">
      <formula>854.890014648437</formula>
    </cfRule>
    <cfRule type="cellIs" dxfId="105" priority="34" operator="greaterThan">
      <formula>854.890014648437</formula>
    </cfRule>
  </conditionalFormatting>
  <conditionalFormatting sqref="D4:AR4">
    <cfRule type="cellIs" dxfId="104" priority="31" operator="lessThan">
      <formula>5328.7998046875</formula>
    </cfRule>
    <cfRule type="cellIs" dxfId="103" priority="32" operator="greaterThan">
      <formula>5328.7998046875</formula>
    </cfRule>
  </conditionalFormatting>
  <conditionalFormatting sqref="D5:AR5">
    <cfRule type="cellIs" dxfId="102" priority="29" operator="lessThan">
      <formula>1403.40002441406</formula>
    </cfRule>
    <cfRule type="cellIs" dxfId="101" priority="30" operator="greaterThan">
      <formula>1403.40002441406</formula>
    </cfRule>
  </conditionalFormatting>
  <conditionalFormatting sqref="D6:AR6">
    <cfRule type="cellIs" dxfId="100" priority="27" operator="lessThan">
      <formula>792.400024414062</formula>
    </cfRule>
    <cfRule type="cellIs" dxfId="99" priority="28" operator="greaterThan">
      <formula>792.400024414062</formula>
    </cfRule>
  </conditionalFormatting>
  <conditionalFormatting sqref="D7:AR7">
    <cfRule type="cellIs" dxfId="98" priority="25" operator="lessThan">
      <formula>3005.80004882812</formula>
    </cfRule>
    <cfRule type="cellIs" dxfId="97" priority="26" operator="greaterThan">
      <formula>3005.80004882812</formula>
    </cfRule>
  </conditionalFormatting>
  <conditionalFormatting sqref="D8:AR8">
    <cfRule type="cellIs" dxfId="96" priority="23" operator="lessThan">
      <formula>749.619995117187</formula>
    </cfRule>
    <cfRule type="cellIs" dxfId="95" priority="24" operator="greaterThan">
      <formula>749.619995117187</formula>
    </cfRule>
  </conditionalFormatting>
  <conditionalFormatting sqref="D9:AR9">
    <cfRule type="cellIs" dxfId="94" priority="21" operator="lessThan">
      <formula>1338.5</formula>
    </cfRule>
    <cfRule type="cellIs" dxfId="93" priority="22" operator="greaterThan">
      <formula>1338.5</formula>
    </cfRule>
  </conditionalFormatting>
  <conditionalFormatting sqref="D10:AR10">
    <cfRule type="cellIs" dxfId="92" priority="19" operator="lessThan">
      <formula>1705.30004882812</formula>
    </cfRule>
    <cfRule type="cellIs" dxfId="91" priority="20" operator="greaterThan">
      <formula>1705.30004882812</formula>
    </cfRule>
  </conditionalFormatting>
  <conditionalFormatting sqref="D11:AR11">
    <cfRule type="cellIs" dxfId="90" priority="17" operator="lessThan">
      <formula>7009.5</formula>
    </cfRule>
    <cfRule type="cellIs" dxfId="89" priority="18" operator="greaterThan">
      <formula>7009.5</formula>
    </cfRule>
  </conditionalFormatting>
  <conditionalFormatting sqref="D12:AR12">
    <cfRule type="cellIs" dxfId="88" priority="15" operator="lessThan">
      <formula>2698.10009765625</formula>
    </cfRule>
    <cfRule type="cellIs" dxfId="87" priority="16" operator="greaterThan">
      <formula>2698.10009765625</formula>
    </cfRule>
  </conditionalFormatting>
  <conditionalFormatting sqref="D13:AR13">
    <cfRule type="cellIs" dxfId="86" priority="13" operator="lessThan">
      <formula>640.330017089844</formula>
    </cfRule>
    <cfRule type="cellIs" dxfId="85" priority="14" operator="greaterThan">
      <formula>640.330017089844</formula>
    </cfRule>
  </conditionalFormatting>
  <conditionalFormatting sqref="D14:AR14">
    <cfRule type="cellIs" dxfId="84" priority="11" operator="lessThan">
      <formula>724.299987792969</formula>
    </cfRule>
    <cfRule type="cellIs" dxfId="83" priority="12" operator="greaterThan">
      <formula>724.299987792969</formula>
    </cfRule>
  </conditionalFormatting>
  <conditionalFormatting sqref="D15:AR15">
    <cfRule type="cellIs" dxfId="82" priority="9" operator="lessThan">
      <formula>4933.39990234375</formula>
    </cfRule>
    <cfRule type="cellIs" dxfId="81" priority="10" operator="greaterThan">
      <formula>4933.39990234375</formula>
    </cfRule>
  </conditionalFormatting>
  <conditionalFormatting sqref="D16:AR16">
    <cfRule type="cellIs" dxfId="80" priority="7" operator="lessThan">
      <formula>1657.09997558594</formula>
    </cfRule>
    <cfRule type="cellIs" dxfId="79" priority="8" operator="greaterThan">
      <formula>1657.09997558594</formula>
    </cfRule>
  </conditionalFormatting>
  <conditionalFormatting sqref="D17:AR17">
    <cfRule type="cellIs" dxfId="78" priority="5" operator="lessThan">
      <formula>481.320007324219</formula>
    </cfRule>
    <cfRule type="cellIs" dxfId="77" priority="6" operator="greaterThan">
      <formula>481.320007324219</formula>
    </cfRule>
  </conditionalFormatting>
  <conditionalFormatting sqref="D18:AR18">
    <cfRule type="cellIs" dxfId="76" priority="3" operator="lessThan">
      <formula>709.940002441406</formula>
    </cfRule>
    <cfRule type="cellIs" dxfId="75" priority="4" operator="greaterThan">
      <formula>709.940002441406</formula>
    </cfRule>
  </conditionalFormatting>
  <conditionalFormatting sqref="D19:AR19">
    <cfRule type="cellIs" dxfId="74" priority="1" operator="lessThan">
      <formula>674.890014648437</formula>
    </cfRule>
    <cfRule type="cellIs" dxfId="73" priority="2" operator="greaterThan">
      <formula>674.890014648437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4587-FBBF-4E82-90CD-A6C97453F11B}">
  <dimension ref="A1:M42"/>
  <sheetViews>
    <sheetView workbookViewId="0">
      <selection sqref="A1:XFD1048576"/>
    </sheetView>
  </sheetViews>
  <sheetFormatPr defaultRowHeight="14.25" x14ac:dyDescent="0.2"/>
  <cols>
    <col min="1" max="1" width="13" style="7" bestFit="1" customWidth="1"/>
    <col min="2" max="2" width="14.75" style="7" bestFit="1" customWidth="1"/>
    <col min="3" max="3" width="12" style="7" bestFit="1" customWidth="1"/>
    <col min="4" max="4" width="9" style="7"/>
    <col min="5" max="5" width="9.875" style="7" bestFit="1" customWidth="1"/>
    <col min="6" max="6" width="23" style="7" bestFit="1" customWidth="1"/>
    <col min="7" max="7" width="15.125" style="7" bestFit="1" customWidth="1"/>
    <col min="8" max="11" width="9" style="7"/>
    <col min="12" max="12" width="15.25" style="7" bestFit="1" customWidth="1"/>
    <col min="13" max="13" width="10.625" style="7" bestFit="1" customWidth="1"/>
    <col min="14" max="16384" width="9" style="7"/>
  </cols>
  <sheetData>
    <row r="1" spans="1:13" ht="15" x14ac:dyDescent="0.25">
      <c r="A1" s="6" t="s">
        <v>444</v>
      </c>
      <c r="B1" s="6" t="s">
        <v>445</v>
      </c>
      <c r="C1" s="6" t="s">
        <v>446</v>
      </c>
      <c r="D1" s="6" t="s">
        <v>447</v>
      </c>
      <c r="E1" s="6" t="s">
        <v>448</v>
      </c>
      <c r="F1" s="6" t="s">
        <v>449</v>
      </c>
      <c r="G1" s="6" t="s">
        <v>450</v>
      </c>
      <c r="L1" s="8" t="s">
        <v>458</v>
      </c>
      <c r="M1" s="9" t="s">
        <v>0</v>
      </c>
    </row>
    <row r="2" spans="1:13" ht="12.95" customHeight="1" x14ac:dyDescent="0.25">
      <c r="A2" s="2" t="s">
        <v>451</v>
      </c>
      <c r="B2" s="10">
        <v>0.1</v>
      </c>
      <c r="C2" s="10">
        <v>523</v>
      </c>
      <c r="D2" s="10">
        <v>663.7</v>
      </c>
      <c r="E2" s="10">
        <v>1</v>
      </c>
      <c r="F2" s="11" t="str">
        <f t="shared" ref="F2:F42" si="0">IF(ISNUMBER(SEARCH("LOW CCV",A2)),"N/A", IF(AND(D2&gt;0, B2&lt;&gt;0.1), (B2-50)/50, "N/A"))</f>
        <v>N/A</v>
      </c>
      <c r="G2" s="11">
        <f t="shared" ref="G2:G42" si="1">IF(AND(D2&gt;0, B2&lt;&gt;0.1),(D2-532.0875)/532.0875,(C2-443.625)/443.625)</f>
        <v>0.17892364046210199</v>
      </c>
      <c r="L2" s="8" t="s">
        <v>459</v>
      </c>
      <c r="M2" s="9">
        <v>532.08749999999998</v>
      </c>
    </row>
    <row r="3" spans="1:13" ht="12.95" customHeight="1" x14ac:dyDescent="0.25">
      <c r="A3" s="2" t="s">
        <v>452</v>
      </c>
      <c r="B3" s="10">
        <v>0.1</v>
      </c>
      <c r="C3" s="10">
        <v>581.79999999999995</v>
      </c>
      <c r="D3" s="10">
        <v>0</v>
      </c>
      <c r="E3" s="10">
        <v>40</v>
      </c>
      <c r="F3" s="11" t="str">
        <f t="shared" si="0"/>
        <v>N/A</v>
      </c>
      <c r="G3" s="11">
        <f t="shared" si="1"/>
        <v>0.31146801916032674</v>
      </c>
      <c r="L3" s="8" t="s">
        <v>460</v>
      </c>
      <c r="M3" s="9">
        <v>443.625</v>
      </c>
    </row>
    <row r="4" spans="1:13" ht="12.95" customHeight="1" x14ac:dyDescent="0.2">
      <c r="A4" s="2" t="s">
        <v>453</v>
      </c>
      <c r="B4" s="10">
        <v>0.1</v>
      </c>
      <c r="C4" s="10">
        <v>619</v>
      </c>
      <c r="D4" s="10">
        <v>0</v>
      </c>
      <c r="E4" s="10">
        <v>40</v>
      </c>
      <c r="F4" s="11" t="str">
        <f t="shared" si="0"/>
        <v>N/A</v>
      </c>
      <c r="G4" s="11">
        <f t="shared" si="1"/>
        <v>0.39532262609185687</v>
      </c>
    </row>
    <row r="5" spans="1:13" ht="12.95" customHeight="1" x14ac:dyDescent="0.2">
      <c r="A5" s="2" t="s">
        <v>28</v>
      </c>
      <c r="B5" s="10">
        <v>0.1</v>
      </c>
      <c r="C5" s="10">
        <v>576.70000000000005</v>
      </c>
      <c r="D5" s="10">
        <v>0</v>
      </c>
      <c r="E5" s="10">
        <v>40</v>
      </c>
      <c r="F5" s="11" t="str">
        <f t="shared" si="0"/>
        <v>N/A</v>
      </c>
      <c r="G5" s="11">
        <f t="shared" si="1"/>
        <v>0.29997182304874626</v>
      </c>
    </row>
    <row r="6" spans="1:13" ht="12.95" customHeight="1" x14ac:dyDescent="0.2">
      <c r="A6" s="2" t="s">
        <v>29</v>
      </c>
      <c r="B6" s="10">
        <v>0.1</v>
      </c>
      <c r="C6" s="10">
        <v>556.70000000000005</v>
      </c>
      <c r="D6" s="10">
        <v>4.8949999999999996</v>
      </c>
      <c r="E6" s="10">
        <v>40</v>
      </c>
      <c r="F6" s="11" t="str">
        <f t="shared" si="0"/>
        <v>N/A</v>
      </c>
      <c r="G6" s="11">
        <f t="shared" si="1"/>
        <v>0.25488870104254729</v>
      </c>
    </row>
    <row r="7" spans="1:13" ht="12.95" customHeight="1" x14ac:dyDescent="0.2">
      <c r="A7" s="2" t="s">
        <v>30</v>
      </c>
      <c r="B7" s="10">
        <v>0.1</v>
      </c>
      <c r="C7" s="10">
        <v>627.70000000000005</v>
      </c>
      <c r="D7" s="10">
        <v>0</v>
      </c>
      <c r="E7" s="10">
        <v>40</v>
      </c>
      <c r="F7" s="11" t="str">
        <f t="shared" si="0"/>
        <v>N/A</v>
      </c>
      <c r="G7" s="11">
        <f t="shared" si="1"/>
        <v>0.41493378416455351</v>
      </c>
    </row>
    <row r="8" spans="1:13" ht="12.95" customHeight="1" x14ac:dyDescent="0.2">
      <c r="A8" s="2" t="s">
        <v>31</v>
      </c>
      <c r="B8" s="10">
        <v>0.1</v>
      </c>
      <c r="C8" s="10">
        <v>556</v>
      </c>
      <c r="D8" s="10">
        <v>0</v>
      </c>
      <c r="E8" s="10">
        <v>40</v>
      </c>
      <c r="F8" s="11" t="str">
        <f t="shared" si="0"/>
        <v>N/A</v>
      </c>
      <c r="G8" s="11">
        <f t="shared" si="1"/>
        <v>0.25331079177233023</v>
      </c>
    </row>
    <row r="9" spans="1:13" ht="12.95" customHeight="1" x14ac:dyDescent="0.2">
      <c r="A9" s="2" t="s">
        <v>32</v>
      </c>
      <c r="B9" s="10">
        <v>0.1</v>
      </c>
      <c r="C9" s="10">
        <v>619.4</v>
      </c>
      <c r="D9" s="10">
        <v>3.0819999999999999</v>
      </c>
      <c r="E9" s="10">
        <v>40</v>
      </c>
      <c r="F9" s="11" t="str">
        <f t="shared" si="0"/>
        <v>N/A</v>
      </c>
      <c r="G9" s="11">
        <f t="shared" si="1"/>
        <v>0.39622428853198077</v>
      </c>
    </row>
    <row r="10" spans="1:13" ht="12.95" customHeight="1" x14ac:dyDescent="0.2">
      <c r="A10" s="2" t="s">
        <v>33</v>
      </c>
      <c r="B10" s="10">
        <v>0.1</v>
      </c>
      <c r="C10" s="10">
        <v>575.29999999999995</v>
      </c>
      <c r="D10" s="10">
        <v>0</v>
      </c>
      <c r="E10" s="10">
        <v>40</v>
      </c>
      <c r="F10" s="11" t="str">
        <f t="shared" si="0"/>
        <v>N/A</v>
      </c>
      <c r="G10" s="11">
        <f t="shared" si="1"/>
        <v>0.29681600450831208</v>
      </c>
    </row>
    <row r="11" spans="1:13" ht="12.95" customHeight="1" x14ac:dyDescent="0.2">
      <c r="A11" s="2" t="s">
        <v>34</v>
      </c>
      <c r="B11" s="10">
        <v>0.1</v>
      </c>
      <c r="C11" s="10">
        <v>560.29999999999995</v>
      </c>
      <c r="D11" s="10">
        <v>2.879</v>
      </c>
      <c r="E11" s="10">
        <v>40</v>
      </c>
      <c r="F11" s="11" t="str">
        <f t="shared" si="0"/>
        <v>N/A</v>
      </c>
      <c r="G11" s="11">
        <f t="shared" si="1"/>
        <v>0.2630036630036629</v>
      </c>
    </row>
    <row r="12" spans="1:13" ht="12.95" customHeight="1" x14ac:dyDescent="0.2">
      <c r="A12" s="2" t="s">
        <v>35</v>
      </c>
      <c r="B12" s="10">
        <v>0.1</v>
      </c>
      <c r="C12" s="10">
        <v>579.70000000000005</v>
      </c>
      <c r="D12" s="10">
        <v>0</v>
      </c>
      <c r="E12" s="10">
        <v>40</v>
      </c>
      <c r="F12" s="11" t="str">
        <f t="shared" si="0"/>
        <v>N/A</v>
      </c>
      <c r="G12" s="11">
        <f t="shared" si="1"/>
        <v>0.30673429134967606</v>
      </c>
    </row>
    <row r="13" spans="1:13" ht="12.95" customHeight="1" x14ac:dyDescent="0.2">
      <c r="A13" s="2" t="s">
        <v>36</v>
      </c>
      <c r="B13" s="10">
        <v>0.1</v>
      </c>
      <c r="C13" s="10">
        <v>581.4</v>
      </c>
      <c r="D13" s="10">
        <v>0</v>
      </c>
      <c r="E13" s="10">
        <v>40</v>
      </c>
      <c r="F13" s="11" t="str">
        <f t="shared" si="0"/>
        <v>N/A</v>
      </c>
      <c r="G13" s="11">
        <f t="shared" si="1"/>
        <v>0.31056635672020283</v>
      </c>
    </row>
    <row r="14" spans="1:13" ht="12.95" customHeight="1" x14ac:dyDescent="0.2">
      <c r="A14" s="2" t="s">
        <v>37</v>
      </c>
      <c r="B14" s="10">
        <v>0.1</v>
      </c>
      <c r="C14" s="10">
        <v>591.29999999999995</v>
      </c>
      <c r="D14" s="10">
        <v>0</v>
      </c>
      <c r="E14" s="10">
        <v>40</v>
      </c>
      <c r="F14" s="11" t="str">
        <f t="shared" si="0"/>
        <v>N/A</v>
      </c>
      <c r="G14" s="11">
        <f t="shared" si="1"/>
        <v>0.33288250211327125</v>
      </c>
    </row>
    <row r="15" spans="1:13" ht="12.95" customHeight="1" x14ac:dyDescent="0.2">
      <c r="A15" s="2" t="s">
        <v>451</v>
      </c>
      <c r="B15" s="10">
        <v>0.1</v>
      </c>
      <c r="C15" s="10">
        <v>461.8</v>
      </c>
      <c r="D15" s="10">
        <v>600</v>
      </c>
      <c r="E15" s="10">
        <v>1</v>
      </c>
      <c r="F15" s="11" t="str">
        <f t="shared" si="0"/>
        <v>N/A</v>
      </c>
      <c r="G15" s="11">
        <f t="shared" si="1"/>
        <v>4.0969287123133302E-2</v>
      </c>
    </row>
    <row r="16" spans="1:13" ht="12.95" customHeight="1" x14ac:dyDescent="0.2">
      <c r="A16" s="2" t="s">
        <v>38</v>
      </c>
      <c r="B16" s="10">
        <v>0.1</v>
      </c>
      <c r="C16" s="10">
        <v>565.1</v>
      </c>
      <c r="D16" s="10">
        <v>0</v>
      </c>
      <c r="E16" s="10">
        <v>40</v>
      </c>
      <c r="F16" s="11" t="str">
        <f t="shared" si="0"/>
        <v>N/A</v>
      </c>
      <c r="G16" s="11">
        <f t="shared" si="1"/>
        <v>0.27382361228515079</v>
      </c>
    </row>
    <row r="17" spans="1:7" ht="12.95" customHeight="1" x14ac:dyDescent="0.2">
      <c r="A17" s="2" t="s">
        <v>39</v>
      </c>
      <c r="B17" s="10">
        <v>0.1</v>
      </c>
      <c r="C17" s="10">
        <v>585.5</v>
      </c>
      <c r="D17" s="10">
        <v>0</v>
      </c>
      <c r="E17" s="10">
        <v>40</v>
      </c>
      <c r="F17" s="11" t="str">
        <f t="shared" si="0"/>
        <v>N/A</v>
      </c>
      <c r="G17" s="11">
        <f t="shared" si="1"/>
        <v>0.31980839673147365</v>
      </c>
    </row>
    <row r="18" spans="1:7" ht="12.95" customHeight="1" x14ac:dyDescent="0.2">
      <c r="A18" s="2" t="s">
        <v>40</v>
      </c>
      <c r="B18" s="10">
        <v>0.1</v>
      </c>
      <c r="C18" s="10">
        <v>648</v>
      </c>
      <c r="D18" s="10">
        <v>0</v>
      </c>
      <c r="E18" s="10">
        <v>40</v>
      </c>
      <c r="F18" s="11" t="str">
        <f t="shared" si="0"/>
        <v>N/A</v>
      </c>
      <c r="G18" s="11">
        <f t="shared" si="1"/>
        <v>0.46069315300084529</v>
      </c>
    </row>
    <row r="19" spans="1:7" ht="12.95" customHeight="1" x14ac:dyDescent="0.2">
      <c r="A19" s="2" t="s">
        <v>41</v>
      </c>
      <c r="B19" s="10">
        <v>0.1</v>
      </c>
      <c r="C19" s="10">
        <v>596.5</v>
      </c>
      <c r="D19" s="10">
        <v>0</v>
      </c>
      <c r="E19" s="10">
        <v>40</v>
      </c>
      <c r="F19" s="11" t="str">
        <f t="shared" si="0"/>
        <v>N/A</v>
      </c>
      <c r="G19" s="11">
        <f t="shared" si="1"/>
        <v>0.34460411383488304</v>
      </c>
    </row>
    <row r="20" spans="1:7" ht="12.95" customHeight="1" x14ac:dyDescent="0.2">
      <c r="A20" s="2" t="s">
        <v>42</v>
      </c>
      <c r="B20" s="10">
        <v>0.1</v>
      </c>
      <c r="C20" s="10">
        <v>614.20000000000005</v>
      </c>
      <c r="D20" s="10">
        <v>0</v>
      </c>
      <c r="E20" s="10">
        <v>40</v>
      </c>
      <c r="F20" s="11" t="str">
        <f t="shared" si="0"/>
        <v>N/A</v>
      </c>
      <c r="G20" s="11">
        <f t="shared" si="1"/>
        <v>0.3845026768103692</v>
      </c>
    </row>
    <row r="21" spans="1:7" ht="12.95" customHeight="1" x14ac:dyDescent="0.2">
      <c r="A21" s="2" t="s">
        <v>43</v>
      </c>
      <c r="B21" s="10">
        <v>0.1</v>
      </c>
      <c r="C21" s="10">
        <v>601</v>
      </c>
      <c r="D21" s="10">
        <v>0</v>
      </c>
      <c r="E21" s="10">
        <v>40</v>
      </c>
      <c r="F21" s="11" t="str">
        <f t="shared" si="0"/>
        <v>N/A</v>
      </c>
      <c r="G21" s="11">
        <f t="shared" si="1"/>
        <v>0.35474781628627783</v>
      </c>
    </row>
    <row r="22" spans="1:7" ht="12.95" customHeight="1" x14ac:dyDescent="0.2">
      <c r="A22" s="2" t="s">
        <v>44</v>
      </c>
      <c r="B22" s="10">
        <v>0.1</v>
      </c>
      <c r="C22" s="10">
        <v>624.5</v>
      </c>
      <c r="D22" s="10">
        <v>0</v>
      </c>
      <c r="E22" s="10">
        <v>40</v>
      </c>
      <c r="F22" s="11" t="str">
        <f t="shared" si="0"/>
        <v>N/A</v>
      </c>
      <c r="G22" s="11">
        <f t="shared" si="1"/>
        <v>0.40772048464356159</v>
      </c>
    </row>
    <row r="23" spans="1:7" ht="12.95" customHeight="1" x14ac:dyDescent="0.2">
      <c r="A23" s="2" t="s">
        <v>45</v>
      </c>
      <c r="B23" s="10">
        <v>0.1</v>
      </c>
      <c r="C23" s="10">
        <v>565.4</v>
      </c>
      <c r="D23" s="10">
        <v>0</v>
      </c>
      <c r="E23" s="10">
        <v>40</v>
      </c>
      <c r="F23" s="11" t="str">
        <f t="shared" si="0"/>
        <v>N/A</v>
      </c>
      <c r="G23" s="11">
        <f t="shared" si="1"/>
        <v>0.27449985911524366</v>
      </c>
    </row>
    <row r="24" spans="1:7" ht="12.95" customHeight="1" x14ac:dyDescent="0.2">
      <c r="A24" s="2" t="s">
        <v>451</v>
      </c>
      <c r="B24" s="10">
        <v>0.1</v>
      </c>
      <c r="C24" s="10">
        <v>454.1</v>
      </c>
      <c r="D24" s="10">
        <v>595.9</v>
      </c>
      <c r="E24" s="10">
        <v>1</v>
      </c>
      <c r="F24" s="11" t="str">
        <f t="shared" si="0"/>
        <v>N/A</v>
      </c>
      <c r="G24" s="11">
        <f t="shared" si="1"/>
        <v>2.3612285150746742E-2</v>
      </c>
    </row>
    <row r="25" spans="1:7" ht="12.95" customHeight="1" x14ac:dyDescent="0.2">
      <c r="A25" s="2" t="s">
        <v>454</v>
      </c>
      <c r="B25" s="10">
        <v>0.1</v>
      </c>
      <c r="C25" s="10">
        <v>571.70000000000005</v>
      </c>
      <c r="D25" s="10">
        <v>0</v>
      </c>
      <c r="E25" s="10">
        <v>10</v>
      </c>
      <c r="F25" s="11" t="str">
        <f t="shared" si="0"/>
        <v>N/A</v>
      </c>
      <c r="G25" s="11">
        <f t="shared" si="1"/>
        <v>0.28870104254719647</v>
      </c>
    </row>
    <row r="26" spans="1:7" ht="12.95" customHeight="1" x14ac:dyDescent="0.2">
      <c r="A26" s="2" t="s">
        <v>455</v>
      </c>
      <c r="B26" s="10">
        <v>0.1</v>
      </c>
      <c r="C26" s="10">
        <v>527.9</v>
      </c>
      <c r="D26" s="10">
        <v>0</v>
      </c>
      <c r="E26" s="10">
        <v>10</v>
      </c>
      <c r="F26" s="11" t="str">
        <f t="shared" si="0"/>
        <v>N/A</v>
      </c>
      <c r="G26" s="11">
        <f t="shared" si="1"/>
        <v>0.18996900535362068</v>
      </c>
    </row>
    <row r="27" spans="1:7" ht="12.95" customHeight="1" x14ac:dyDescent="0.2">
      <c r="A27" s="2" t="s">
        <v>48</v>
      </c>
      <c r="B27" s="10">
        <v>0.1</v>
      </c>
      <c r="C27" s="10">
        <v>534.29999999999995</v>
      </c>
      <c r="D27" s="10">
        <v>0</v>
      </c>
      <c r="E27" s="10">
        <v>10</v>
      </c>
      <c r="F27" s="11" t="str">
        <f t="shared" si="0"/>
        <v>N/A</v>
      </c>
      <c r="G27" s="11">
        <f t="shared" si="1"/>
        <v>0.20439560439560428</v>
      </c>
    </row>
    <row r="28" spans="1:7" ht="12.95" customHeight="1" x14ac:dyDescent="0.2">
      <c r="A28" s="2" t="s">
        <v>49</v>
      </c>
      <c r="B28" s="10">
        <v>0.1</v>
      </c>
      <c r="C28" s="10">
        <v>541.20000000000005</v>
      </c>
      <c r="D28" s="10">
        <v>0</v>
      </c>
      <c r="E28" s="10">
        <v>10</v>
      </c>
      <c r="F28" s="11" t="str">
        <f t="shared" si="0"/>
        <v>N/A</v>
      </c>
      <c r="G28" s="11">
        <f t="shared" si="1"/>
        <v>0.21994928148774312</v>
      </c>
    </row>
    <row r="29" spans="1:7" ht="12.95" customHeight="1" x14ac:dyDescent="0.2">
      <c r="A29" s="2" t="s">
        <v>50</v>
      </c>
      <c r="B29" s="10">
        <v>0.1</v>
      </c>
      <c r="C29" s="10">
        <v>559.4</v>
      </c>
      <c r="D29" s="10">
        <v>0</v>
      </c>
      <c r="E29" s="10">
        <v>10</v>
      </c>
      <c r="F29" s="11" t="str">
        <f t="shared" si="0"/>
        <v>N/A</v>
      </c>
      <c r="G29" s="11">
        <f t="shared" si="1"/>
        <v>0.260974922513384</v>
      </c>
    </row>
    <row r="30" spans="1:7" ht="12.95" customHeight="1" x14ac:dyDescent="0.2">
      <c r="A30" s="2" t="s">
        <v>51</v>
      </c>
      <c r="B30" s="10">
        <v>0.1</v>
      </c>
      <c r="C30" s="10">
        <v>567.6</v>
      </c>
      <c r="D30" s="10">
        <v>0</v>
      </c>
      <c r="E30" s="10">
        <v>10</v>
      </c>
      <c r="F30" s="11" t="str">
        <f t="shared" si="0"/>
        <v>N/A</v>
      </c>
      <c r="G30" s="11">
        <f t="shared" si="1"/>
        <v>0.27945900253592565</v>
      </c>
    </row>
    <row r="31" spans="1:7" ht="12.95" customHeight="1" x14ac:dyDescent="0.2">
      <c r="A31" s="2" t="s">
        <v>52</v>
      </c>
      <c r="B31" s="10">
        <v>0.1</v>
      </c>
      <c r="C31" s="10">
        <v>526.4</v>
      </c>
      <c r="D31" s="10">
        <v>0</v>
      </c>
      <c r="E31" s="10">
        <v>10</v>
      </c>
      <c r="F31" s="11" t="str">
        <f t="shared" si="0"/>
        <v>N/A</v>
      </c>
      <c r="G31" s="11">
        <f t="shared" si="1"/>
        <v>0.18658777120315576</v>
      </c>
    </row>
    <row r="32" spans="1:7" ht="12.95" customHeight="1" x14ac:dyDescent="0.2">
      <c r="A32" s="2" t="s">
        <v>53</v>
      </c>
      <c r="B32" s="10">
        <v>0.1</v>
      </c>
      <c r="C32" s="10">
        <v>526</v>
      </c>
      <c r="D32" s="10">
        <v>0</v>
      </c>
      <c r="E32" s="10">
        <v>10</v>
      </c>
      <c r="F32" s="11" t="str">
        <f t="shared" si="0"/>
        <v>N/A</v>
      </c>
      <c r="G32" s="11">
        <f t="shared" si="1"/>
        <v>0.18568610876303185</v>
      </c>
    </row>
    <row r="33" spans="1:7" ht="12.95" customHeight="1" x14ac:dyDescent="0.2">
      <c r="A33" s="2" t="s">
        <v>54</v>
      </c>
      <c r="B33" s="10">
        <v>0.1</v>
      </c>
      <c r="C33" s="10">
        <v>526.4</v>
      </c>
      <c r="D33" s="10">
        <v>8.718</v>
      </c>
      <c r="E33" s="10">
        <v>10</v>
      </c>
      <c r="F33" s="11" t="str">
        <f t="shared" si="0"/>
        <v>N/A</v>
      </c>
      <c r="G33" s="11">
        <f t="shared" si="1"/>
        <v>0.18658777120315576</v>
      </c>
    </row>
    <row r="34" spans="1:7" ht="12.95" customHeight="1" x14ac:dyDescent="0.2">
      <c r="A34" s="2" t="s">
        <v>55</v>
      </c>
      <c r="B34" s="10">
        <v>0.1</v>
      </c>
      <c r="C34" s="10">
        <v>547.5</v>
      </c>
      <c r="D34" s="10">
        <v>0</v>
      </c>
      <c r="E34" s="10">
        <v>10</v>
      </c>
      <c r="F34" s="11" t="str">
        <f t="shared" si="0"/>
        <v>N/A</v>
      </c>
      <c r="G34" s="11">
        <f t="shared" si="1"/>
        <v>0.23415046491969568</v>
      </c>
    </row>
    <row r="35" spans="1:7" ht="12.95" customHeight="1" x14ac:dyDescent="0.2">
      <c r="A35" s="2" t="s">
        <v>451</v>
      </c>
      <c r="B35" s="10">
        <v>0.1</v>
      </c>
      <c r="C35" s="10">
        <v>453.4</v>
      </c>
      <c r="D35" s="10">
        <v>596.4</v>
      </c>
      <c r="E35" s="10">
        <v>1</v>
      </c>
      <c r="F35" s="11" t="str">
        <f t="shared" si="0"/>
        <v>N/A</v>
      </c>
      <c r="G35" s="11">
        <f t="shared" si="1"/>
        <v>2.2034375880529675E-2</v>
      </c>
    </row>
    <row r="36" spans="1:7" ht="12.95" customHeight="1" x14ac:dyDescent="0.2">
      <c r="A36" s="2" t="s">
        <v>456</v>
      </c>
      <c r="B36" s="10">
        <v>0.1</v>
      </c>
      <c r="C36" s="10">
        <v>562.4</v>
      </c>
      <c r="D36" s="10">
        <v>0</v>
      </c>
      <c r="E36" s="10">
        <v>40</v>
      </c>
      <c r="F36" s="11" t="str">
        <f t="shared" si="0"/>
        <v>N/A</v>
      </c>
      <c r="G36" s="11">
        <f t="shared" si="1"/>
        <v>0.26773739081431386</v>
      </c>
    </row>
    <row r="37" spans="1:7" ht="12.95" customHeight="1" x14ac:dyDescent="0.2">
      <c r="A37" s="2" t="s">
        <v>457</v>
      </c>
      <c r="B37" s="10">
        <v>0.1</v>
      </c>
      <c r="C37" s="10">
        <v>585.29999999999995</v>
      </c>
      <c r="D37" s="10">
        <v>0</v>
      </c>
      <c r="E37" s="10">
        <v>40</v>
      </c>
      <c r="F37" s="11" t="str">
        <f t="shared" si="0"/>
        <v>N/A</v>
      </c>
      <c r="G37" s="11">
        <f t="shared" si="1"/>
        <v>0.31935756551141159</v>
      </c>
    </row>
    <row r="38" spans="1:7" ht="12.95" customHeight="1" x14ac:dyDescent="0.2">
      <c r="A38" s="2" t="s">
        <v>58</v>
      </c>
      <c r="B38" s="10">
        <v>0.1</v>
      </c>
      <c r="C38" s="10">
        <v>572</v>
      </c>
      <c r="D38" s="10">
        <v>0</v>
      </c>
      <c r="E38" s="10">
        <v>40</v>
      </c>
      <c r="F38" s="11" t="str">
        <f t="shared" si="0"/>
        <v>N/A</v>
      </c>
      <c r="G38" s="11">
        <f t="shared" si="1"/>
        <v>0.2893772893772894</v>
      </c>
    </row>
    <row r="39" spans="1:7" ht="12.95" customHeight="1" x14ac:dyDescent="0.2">
      <c r="A39" s="2" t="s">
        <v>59</v>
      </c>
      <c r="B39" s="10">
        <v>0.1</v>
      </c>
      <c r="C39" s="10">
        <v>574</v>
      </c>
      <c r="D39" s="10">
        <v>0</v>
      </c>
      <c r="E39" s="10">
        <v>40</v>
      </c>
      <c r="F39" s="11" t="str">
        <f t="shared" si="0"/>
        <v>N/A</v>
      </c>
      <c r="G39" s="11">
        <f t="shared" si="1"/>
        <v>0.29388560157790927</v>
      </c>
    </row>
    <row r="40" spans="1:7" ht="12.95" customHeight="1" x14ac:dyDescent="0.2">
      <c r="A40" s="2" t="s">
        <v>60</v>
      </c>
      <c r="B40" s="10">
        <v>0.1</v>
      </c>
      <c r="C40" s="10">
        <v>570.79999999999995</v>
      </c>
      <c r="D40" s="10">
        <v>0</v>
      </c>
      <c r="E40" s="10">
        <v>40</v>
      </c>
      <c r="F40" s="11" t="str">
        <f t="shared" si="0"/>
        <v>N/A</v>
      </c>
      <c r="G40" s="11">
        <f t="shared" si="1"/>
        <v>0.28667230205691735</v>
      </c>
    </row>
    <row r="41" spans="1:7" ht="12.95" customHeight="1" x14ac:dyDescent="0.2">
      <c r="A41" s="2" t="s">
        <v>61</v>
      </c>
      <c r="B41" s="10">
        <v>0.1</v>
      </c>
      <c r="C41" s="10">
        <v>600.6</v>
      </c>
      <c r="D41" s="10">
        <v>0</v>
      </c>
      <c r="E41" s="10">
        <v>40</v>
      </c>
      <c r="F41" s="11" t="str">
        <f t="shared" si="0"/>
        <v>N/A</v>
      </c>
      <c r="G41" s="11">
        <f t="shared" si="1"/>
        <v>0.35384615384615392</v>
      </c>
    </row>
    <row r="42" spans="1:7" ht="12.95" customHeight="1" x14ac:dyDescent="0.2">
      <c r="A42" s="2" t="s">
        <v>451</v>
      </c>
      <c r="B42" s="10">
        <v>0.1</v>
      </c>
      <c r="C42" s="10">
        <v>452.6</v>
      </c>
      <c r="D42" s="10">
        <v>596.70000000000005</v>
      </c>
      <c r="E42" s="10">
        <v>1</v>
      </c>
      <c r="F42" s="11" t="str">
        <f t="shared" si="0"/>
        <v>N/A</v>
      </c>
      <c r="G42" s="11">
        <f t="shared" si="1"/>
        <v>2.023105100028182E-2</v>
      </c>
    </row>
  </sheetData>
  <conditionalFormatting sqref="F2:G42">
    <cfRule type="cellIs" dxfId="72" priority="1" operator="between">
      <formula>-0.05</formula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E4B-D89A-4DBF-B60C-F5C13CD22C43}">
  <dimension ref="A1:F20"/>
  <sheetViews>
    <sheetView workbookViewId="0">
      <selection activeCell="G1" sqref="G1"/>
    </sheetView>
  </sheetViews>
  <sheetFormatPr defaultRowHeight="14.25" x14ac:dyDescent="0.2"/>
  <sheetData>
    <row r="1" spans="1:6" ht="33.75" x14ac:dyDescent="0.2">
      <c r="A1" s="4" t="s">
        <v>26</v>
      </c>
      <c r="B1">
        <v>10.5</v>
      </c>
      <c r="C1" s="4" t="s">
        <v>46</v>
      </c>
      <c r="D1">
        <v>21.6</v>
      </c>
      <c r="E1" s="4" t="s">
        <v>56</v>
      </c>
      <c r="F1">
        <v>10.199999999999999</v>
      </c>
    </row>
    <row r="2" spans="1:6" x14ac:dyDescent="0.2">
      <c r="A2" s="1" t="s">
        <v>82</v>
      </c>
      <c r="C2" s="1" t="s">
        <v>85</v>
      </c>
      <c r="E2" s="1" t="s">
        <v>87</v>
      </c>
    </row>
    <row r="3" spans="1:6" x14ac:dyDescent="0.2">
      <c r="A3" s="1">
        <v>0</v>
      </c>
      <c r="C3" s="1">
        <v>7.7314814814814802E-4</v>
      </c>
      <c r="E3" s="1">
        <v>0</v>
      </c>
    </row>
    <row r="4" spans="1:6" x14ac:dyDescent="0.2">
      <c r="A4" s="1">
        <v>2.9085714285714288E-2</v>
      </c>
      <c r="B4" s="5">
        <f>A4/3.2018*100</f>
        <v>0.90841758653614491</v>
      </c>
      <c r="C4" s="1">
        <v>2.5578703703703701E-2</v>
      </c>
      <c r="D4" s="5">
        <f>C4/3.2018*100</f>
        <v>0.79888511786194338</v>
      </c>
      <c r="E4" s="1">
        <v>2.9019607843137254E-2</v>
      </c>
      <c r="F4" s="5">
        <f>E4/3.2018*100</f>
        <v>0.90635292157965064</v>
      </c>
    </row>
    <row r="5" spans="1:6" x14ac:dyDescent="0.2">
      <c r="A5" s="1">
        <v>1.1504761904761905E-3</v>
      </c>
      <c r="C5" s="1">
        <v>6.648148148148147E-4</v>
      </c>
      <c r="E5" s="1">
        <v>1.1549019607843139E-3</v>
      </c>
    </row>
    <row r="6" spans="1:6" x14ac:dyDescent="0.2">
      <c r="A6" s="1">
        <v>1.5685714285714285E-3</v>
      </c>
      <c r="C6" s="1">
        <v>1.1773148148148148E-3</v>
      </c>
      <c r="E6" s="1">
        <v>1.6215686274509804E-3</v>
      </c>
    </row>
    <row r="7" spans="1:6" x14ac:dyDescent="0.2">
      <c r="A7" s="1">
        <v>3.8257142857142858E-2</v>
      </c>
      <c r="B7" s="5">
        <f>A7/4.0713*100</f>
        <v>0.93967879687428724</v>
      </c>
      <c r="C7" s="1">
        <v>3.7731481481481477E-2</v>
      </c>
      <c r="D7" s="5">
        <f>C7/4.0713*100</f>
        <v>0.92676740798962198</v>
      </c>
      <c r="E7" s="1">
        <v>3.7460784313725494E-2</v>
      </c>
      <c r="F7" s="5">
        <f>E7/4.0713*100</f>
        <v>0.92011849565803305</v>
      </c>
    </row>
    <row r="8" spans="1:6" x14ac:dyDescent="0.2">
      <c r="A8" s="1">
        <v>0</v>
      </c>
      <c r="C8" s="1">
        <v>4.662037037037037E-4</v>
      </c>
      <c r="E8" s="1">
        <v>0</v>
      </c>
    </row>
    <row r="9" spans="1:6" x14ac:dyDescent="0.2">
      <c r="A9" s="1">
        <v>0</v>
      </c>
      <c r="C9" s="1">
        <v>2.1685185185185184E-4</v>
      </c>
      <c r="E9" s="1">
        <v>0</v>
      </c>
    </row>
    <row r="10" spans="1:6" x14ac:dyDescent="0.2">
      <c r="A10" s="1">
        <v>0</v>
      </c>
      <c r="C10" s="1">
        <v>0</v>
      </c>
      <c r="E10" s="1">
        <v>0</v>
      </c>
    </row>
    <row r="11" spans="1:6" x14ac:dyDescent="0.2">
      <c r="A11" s="1">
        <v>0</v>
      </c>
      <c r="C11" s="1">
        <v>3.6962962962962958E-4</v>
      </c>
      <c r="E11" s="1">
        <v>0</v>
      </c>
    </row>
    <row r="12" spans="1:6" x14ac:dyDescent="0.2">
      <c r="A12" s="1">
        <v>2.7961904761904764E-2</v>
      </c>
      <c r="B12" s="5">
        <f>A12/2.9805*100</f>
        <v>0.93816154208705793</v>
      </c>
      <c r="C12" s="1">
        <v>2.8185185185185185E-2</v>
      </c>
      <c r="D12" s="5">
        <f>C12/2.9805*100</f>
        <v>0.94565291679869767</v>
      </c>
      <c r="E12" s="1">
        <v>2.7441176470588236E-2</v>
      </c>
      <c r="F12" s="5">
        <f>E12/2.9805*100</f>
        <v>0.92069036975635754</v>
      </c>
    </row>
    <row r="13" spans="1:6" x14ac:dyDescent="0.2">
      <c r="A13" s="1">
        <v>0</v>
      </c>
      <c r="C13" s="1">
        <v>0</v>
      </c>
      <c r="E13" s="1">
        <v>0</v>
      </c>
    </row>
    <row r="14" spans="1:6" x14ac:dyDescent="0.2">
      <c r="A14" s="1">
        <v>0</v>
      </c>
      <c r="C14" s="1">
        <v>0</v>
      </c>
      <c r="E14" s="1">
        <v>0</v>
      </c>
    </row>
    <row r="15" spans="1:6" x14ac:dyDescent="0.2">
      <c r="A15" s="1">
        <v>2.7971428571428574E-2</v>
      </c>
      <c r="B15" s="5">
        <f>A15/2.9896*100</f>
        <v>0.93562445047593568</v>
      </c>
      <c r="C15" s="1">
        <v>2.2499999999999999E-2</v>
      </c>
      <c r="D15" s="5">
        <f>C15/2.9896*100</f>
        <v>0.75260904468825263</v>
      </c>
      <c r="E15" s="1">
        <v>2.7843137254901961E-2</v>
      </c>
      <c r="F15" s="5">
        <f>E15/2.9896*100</f>
        <v>0.931333196912696</v>
      </c>
    </row>
    <row r="16" spans="1:6" x14ac:dyDescent="0.2">
      <c r="A16" s="1">
        <v>0</v>
      </c>
      <c r="C16" s="1">
        <v>0</v>
      </c>
      <c r="E16" s="1">
        <v>0</v>
      </c>
    </row>
    <row r="17" spans="1:5" x14ac:dyDescent="0.2">
      <c r="A17" s="1">
        <v>0</v>
      </c>
      <c r="C17" s="1">
        <v>0</v>
      </c>
      <c r="E17" s="1">
        <v>0</v>
      </c>
    </row>
    <row r="18" spans="1:5" x14ac:dyDescent="0.2">
      <c r="A18" s="1">
        <v>0</v>
      </c>
      <c r="C18" s="1">
        <v>0</v>
      </c>
      <c r="E18" s="1">
        <v>0</v>
      </c>
    </row>
    <row r="19" spans="1:5" x14ac:dyDescent="0.2">
      <c r="A19" s="1">
        <v>0</v>
      </c>
      <c r="C19" s="1">
        <v>2.498148148148148E-4</v>
      </c>
      <c r="E19" s="1">
        <v>0</v>
      </c>
    </row>
    <row r="20" spans="1:5" x14ac:dyDescent="0.2">
      <c r="A20" s="1">
        <v>0</v>
      </c>
      <c r="C20" s="1">
        <v>0</v>
      </c>
      <c r="E20" s="1">
        <v>0</v>
      </c>
    </row>
  </sheetData>
  <conditionalFormatting sqref="B4">
    <cfRule type="cellIs" dxfId="71" priority="25" stopIfTrue="1" operator="greaterThan">
      <formula>1.2</formula>
    </cfRule>
    <cfRule type="cellIs" dxfId="70" priority="26" stopIfTrue="1" operator="lessThan">
      <formula>0.8</formula>
    </cfRule>
    <cfRule type="cellIs" dxfId="69" priority="27" stopIfTrue="1" operator="between">
      <formula>0.8</formula>
      <formula>1.2</formula>
    </cfRule>
  </conditionalFormatting>
  <conditionalFormatting sqref="B7">
    <cfRule type="cellIs" dxfId="68" priority="28" stopIfTrue="1" operator="greaterThan">
      <formula>1.2</formula>
    </cfRule>
    <cfRule type="cellIs" dxfId="67" priority="29" stopIfTrue="1" operator="lessThan">
      <formula>0.8</formula>
    </cfRule>
    <cfRule type="cellIs" dxfId="66" priority="30" stopIfTrue="1" operator="between">
      <formula>0.8</formula>
      <formula>1.2</formula>
    </cfRule>
  </conditionalFormatting>
  <conditionalFormatting sqref="B12">
    <cfRule type="cellIs" dxfId="65" priority="34" stopIfTrue="1" operator="greaterThan">
      <formula>1.2</formula>
    </cfRule>
    <cfRule type="cellIs" dxfId="64" priority="35" stopIfTrue="1" operator="lessThan">
      <formula>0.8</formula>
    </cfRule>
    <cfRule type="cellIs" dxfId="63" priority="36" stopIfTrue="1" operator="between">
      <formula>0.8</formula>
      <formula>1.2</formula>
    </cfRule>
  </conditionalFormatting>
  <conditionalFormatting sqref="B15">
    <cfRule type="cellIs" dxfId="62" priority="31" stopIfTrue="1" operator="greaterThan">
      <formula>1.2</formula>
    </cfRule>
    <cfRule type="cellIs" dxfId="61" priority="32" stopIfTrue="1" operator="lessThan">
      <formula>0.8</formula>
    </cfRule>
    <cfRule type="cellIs" dxfId="60" priority="33" stopIfTrue="1" operator="between">
      <formula>0.8</formula>
      <formula>1.2</formula>
    </cfRule>
  </conditionalFormatting>
  <conditionalFormatting sqref="D4">
    <cfRule type="cellIs" dxfId="59" priority="13" stopIfTrue="1" operator="greaterThan">
      <formula>1.2</formula>
    </cfRule>
    <cfRule type="cellIs" dxfId="58" priority="14" stopIfTrue="1" operator="lessThan">
      <formula>0.8</formula>
    </cfRule>
    <cfRule type="cellIs" dxfId="57" priority="15" stopIfTrue="1" operator="between">
      <formula>0.8</formula>
      <formula>1.2</formula>
    </cfRule>
  </conditionalFormatting>
  <conditionalFormatting sqref="D7">
    <cfRule type="cellIs" dxfId="56" priority="16" stopIfTrue="1" operator="greaterThan">
      <formula>1.2</formula>
    </cfRule>
    <cfRule type="cellIs" dxfId="55" priority="17" stopIfTrue="1" operator="lessThan">
      <formula>0.8</formula>
    </cfRule>
    <cfRule type="cellIs" dxfId="54" priority="18" stopIfTrue="1" operator="between">
      <formula>0.8</formula>
      <formula>1.2</formula>
    </cfRule>
  </conditionalFormatting>
  <conditionalFormatting sqref="D12">
    <cfRule type="cellIs" dxfId="53" priority="22" stopIfTrue="1" operator="greaterThan">
      <formula>1.2</formula>
    </cfRule>
    <cfRule type="cellIs" dxfId="52" priority="23" stopIfTrue="1" operator="lessThan">
      <formula>0.8</formula>
    </cfRule>
    <cfRule type="cellIs" dxfId="51" priority="24" stopIfTrue="1" operator="between">
      <formula>0.8</formula>
      <formula>1.2</formula>
    </cfRule>
  </conditionalFormatting>
  <conditionalFormatting sqref="D15">
    <cfRule type="cellIs" dxfId="50" priority="19" stopIfTrue="1" operator="greaterThan">
      <formula>1.2</formula>
    </cfRule>
    <cfRule type="cellIs" dxfId="49" priority="20" stopIfTrue="1" operator="lessThan">
      <formula>0.8</formula>
    </cfRule>
    <cfRule type="cellIs" dxfId="48" priority="21" stopIfTrue="1" operator="between">
      <formula>0.8</formula>
      <formula>1.2</formula>
    </cfRule>
  </conditionalFormatting>
  <conditionalFormatting sqref="F4">
    <cfRule type="cellIs" dxfId="47" priority="1" stopIfTrue="1" operator="greaterThan">
      <formula>1.2</formula>
    </cfRule>
    <cfRule type="cellIs" dxfId="46" priority="2" stopIfTrue="1" operator="lessThan">
      <formula>0.8</formula>
    </cfRule>
    <cfRule type="cellIs" dxfId="45" priority="3" stopIfTrue="1" operator="between">
      <formula>0.8</formula>
      <formula>1.2</formula>
    </cfRule>
  </conditionalFormatting>
  <conditionalFormatting sqref="F7">
    <cfRule type="cellIs" dxfId="44" priority="4" stopIfTrue="1" operator="greaterThan">
      <formula>1.2</formula>
    </cfRule>
    <cfRule type="cellIs" dxfId="43" priority="5" stopIfTrue="1" operator="lessThan">
      <formula>0.8</formula>
    </cfRule>
    <cfRule type="cellIs" dxfId="42" priority="6" stopIfTrue="1" operator="between">
      <formula>0.8</formula>
      <formula>1.2</formula>
    </cfRule>
  </conditionalFormatting>
  <conditionalFormatting sqref="F12">
    <cfRule type="cellIs" dxfId="41" priority="10" stopIfTrue="1" operator="greaterThan">
      <formula>1.2</formula>
    </cfRule>
    <cfRule type="cellIs" dxfId="40" priority="11" stopIfTrue="1" operator="lessThan">
      <formula>0.8</formula>
    </cfRule>
    <cfRule type="cellIs" dxfId="39" priority="12" stopIfTrue="1" operator="between">
      <formula>0.8</formula>
      <formula>1.2</formula>
    </cfRule>
  </conditionalFormatting>
  <conditionalFormatting sqref="F15">
    <cfRule type="cellIs" dxfId="38" priority="7" stopIfTrue="1" operator="greaterThan">
      <formula>1.2</formula>
    </cfRule>
    <cfRule type="cellIs" dxfId="37" priority="8" stopIfTrue="1" operator="lessThan">
      <formula>0.8</formula>
    </cfRule>
    <cfRule type="cellIs" dxfId="36" priority="9" stopIfTrue="1" operator="between">
      <formula>0.8</formula>
      <formula>1.2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6875-1A47-412C-BEDC-66D79890C531}">
  <dimension ref="A1:O47"/>
  <sheetViews>
    <sheetView tabSelected="1" topLeftCell="A7" workbookViewId="0">
      <selection activeCell="E26" sqref="E26"/>
    </sheetView>
  </sheetViews>
  <sheetFormatPr defaultRowHeight="14.25" x14ac:dyDescent="0.2"/>
  <sheetData>
    <row r="1" spans="1:15" ht="12.95" customHeight="1" x14ac:dyDescent="0.2">
      <c r="A1" s="13"/>
      <c r="B1" s="13"/>
      <c r="C1" s="13"/>
      <c r="D1" s="4" t="s">
        <v>25</v>
      </c>
      <c r="E1" s="4" t="s">
        <v>26</v>
      </c>
      <c r="F1" s="4" t="s">
        <v>27</v>
      </c>
      <c r="G1" s="4" t="s">
        <v>480</v>
      </c>
      <c r="H1" s="4" t="s">
        <v>481</v>
      </c>
      <c r="I1" s="4" t="s">
        <v>482</v>
      </c>
      <c r="J1" s="4" t="s">
        <v>483</v>
      </c>
      <c r="K1" s="4" t="s">
        <v>484</v>
      </c>
      <c r="L1" s="4" t="s">
        <v>485</v>
      </c>
      <c r="M1" s="4" t="s">
        <v>486</v>
      </c>
      <c r="N1" s="4" t="s">
        <v>487</v>
      </c>
      <c r="O1" s="4" t="s">
        <v>25</v>
      </c>
    </row>
    <row r="2" spans="1:15" ht="12.95" customHeight="1" x14ac:dyDescent="0.2">
      <c r="A2" s="4" t="s">
        <v>79</v>
      </c>
      <c r="B2" s="4" t="s">
        <v>80</v>
      </c>
      <c r="C2" s="3" t="s">
        <v>62</v>
      </c>
      <c r="D2" s="1" t="s">
        <v>81</v>
      </c>
      <c r="E2" s="1" t="s">
        <v>82</v>
      </c>
      <c r="F2" s="1" t="s">
        <v>63</v>
      </c>
      <c r="G2" s="1" t="s">
        <v>63</v>
      </c>
      <c r="H2" s="1" t="s">
        <v>63</v>
      </c>
      <c r="I2" s="1" t="s">
        <v>63</v>
      </c>
      <c r="J2" s="1" t="s">
        <v>63</v>
      </c>
      <c r="K2" s="1" t="s">
        <v>63</v>
      </c>
      <c r="L2" s="1" t="s">
        <v>63</v>
      </c>
      <c r="M2" s="1" t="s">
        <v>63</v>
      </c>
      <c r="N2" s="1" t="s">
        <v>63</v>
      </c>
      <c r="O2" s="1" t="s">
        <v>83</v>
      </c>
    </row>
    <row r="3" spans="1:15" ht="12.95" customHeight="1" x14ac:dyDescent="0.2">
      <c r="A3" s="4" t="s">
        <v>89</v>
      </c>
      <c r="B3" s="4" t="s">
        <v>90</v>
      </c>
      <c r="C3" s="3" t="s">
        <v>62</v>
      </c>
      <c r="D3" s="1" t="s">
        <v>91</v>
      </c>
      <c r="E3" s="1" t="s">
        <v>63</v>
      </c>
      <c r="F3" s="1" t="s">
        <v>63</v>
      </c>
      <c r="G3" s="1" t="s">
        <v>63</v>
      </c>
      <c r="H3" s="1" t="s">
        <v>63</v>
      </c>
      <c r="I3" s="1" t="s">
        <v>63</v>
      </c>
      <c r="J3" s="1" t="s">
        <v>63</v>
      </c>
      <c r="K3" s="1" t="s">
        <v>63</v>
      </c>
      <c r="L3" s="1" t="s">
        <v>63</v>
      </c>
      <c r="M3" s="1" t="s">
        <v>63</v>
      </c>
      <c r="N3" s="1" t="s">
        <v>63</v>
      </c>
      <c r="O3" s="1" t="s">
        <v>92</v>
      </c>
    </row>
    <row r="4" spans="1:15" ht="12.95" customHeight="1" x14ac:dyDescent="0.2">
      <c r="A4" s="4" t="s">
        <v>100</v>
      </c>
      <c r="B4" s="4" t="s">
        <v>101</v>
      </c>
      <c r="C4" s="3" t="s">
        <v>62</v>
      </c>
      <c r="D4" s="1" t="s">
        <v>103</v>
      </c>
      <c r="E4" s="1" t="s">
        <v>104</v>
      </c>
      <c r="F4" s="1" t="s">
        <v>63</v>
      </c>
      <c r="G4" s="1" t="s">
        <v>63</v>
      </c>
      <c r="H4" s="1" t="s">
        <v>63</v>
      </c>
      <c r="I4" s="1" t="s">
        <v>63</v>
      </c>
      <c r="J4" s="1" t="s">
        <v>63</v>
      </c>
      <c r="K4" s="1" t="s">
        <v>63</v>
      </c>
      <c r="L4" s="1" t="s">
        <v>63</v>
      </c>
      <c r="M4" s="1" t="s">
        <v>63</v>
      </c>
      <c r="N4" s="1" t="s">
        <v>63</v>
      </c>
      <c r="O4" s="1" t="s">
        <v>105</v>
      </c>
    </row>
    <row r="5" spans="1:15" ht="12.95" customHeight="1" x14ac:dyDescent="0.2">
      <c r="A5" s="4" t="s">
        <v>119</v>
      </c>
      <c r="B5" s="4" t="s">
        <v>120</v>
      </c>
      <c r="C5" s="3" t="s">
        <v>62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  <c r="I5" s="1" t="s">
        <v>126</v>
      </c>
      <c r="J5" s="1" t="s">
        <v>127</v>
      </c>
      <c r="K5" s="1" t="s">
        <v>128</v>
      </c>
      <c r="L5" s="1" t="s">
        <v>130</v>
      </c>
      <c r="M5" s="1" t="s">
        <v>131</v>
      </c>
      <c r="N5" s="1" t="s">
        <v>133</v>
      </c>
      <c r="O5" s="1" t="s">
        <v>134</v>
      </c>
    </row>
    <row r="6" spans="1:15" ht="12.95" customHeight="1" x14ac:dyDescent="0.2">
      <c r="A6" s="4" t="s">
        <v>146</v>
      </c>
      <c r="B6" s="4" t="s">
        <v>147</v>
      </c>
      <c r="C6" s="3" t="s">
        <v>62</v>
      </c>
      <c r="D6" s="1" t="s">
        <v>148</v>
      </c>
      <c r="E6" s="1" t="s">
        <v>149</v>
      </c>
      <c r="F6" s="1" t="s">
        <v>150</v>
      </c>
      <c r="G6" s="1" t="s">
        <v>151</v>
      </c>
      <c r="H6" s="1" t="s">
        <v>152</v>
      </c>
      <c r="I6" s="1" t="s">
        <v>153</v>
      </c>
      <c r="J6" s="1" t="s">
        <v>154</v>
      </c>
      <c r="K6" s="1" t="s">
        <v>155</v>
      </c>
      <c r="L6" s="1" t="s">
        <v>157</v>
      </c>
      <c r="M6" s="1" t="s">
        <v>158</v>
      </c>
      <c r="N6" s="1" t="s">
        <v>160</v>
      </c>
      <c r="O6" s="1" t="s">
        <v>161</v>
      </c>
    </row>
    <row r="7" spans="1:15" ht="12.95" customHeight="1" x14ac:dyDescent="0.2">
      <c r="A7" s="4" t="s">
        <v>187</v>
      </c>
      <c r="B7" s="4" t="s">
        <v>188</v>
      </c>
      <c r="C7" s="3" t="s">
        <v>62</v>
      </c>
      <c r="D7" s="1" t="s">
        <v>190</v>
      </c>
      <c r="E7" s="1" t="s">
        <v>191</v>
      </c>
      <c r="F7" s="1" t="s">
        <v>63</v>
      </c>
      <c r="G7" s="1" t="s">
        <v>63</v>
      </c>
      <c r="H7" s="1" t="s">
        <v>63</v>
      </c>
      <c r="I7" s="1" t="s">
        <v>63</v>
      </c>
      <c r="J7" s="1" t="s">
        <v>63</v>
      </c>
      <c r="K7" s="1" t="s">
        <v>63</v>
      </c>
      <c r="L7" s="1" t="s">
        <v>63</v>
      </c>
      <c r="M7" s="1" t="s">
        <v>63</v>
      </c>
      <c r="N7" s="1" t="s">
        <v>63</v>
      </c>
      <c r="O7" s="1" t="s">
        <v>192</v>
      </c>
    </row>
    <row r="8" spans="1:15" ht="12.95" customHeight="1" x14ac:dyDescent="0.2">
      <c r="A8" s="4" t="s">
        <v>204</v>
      </c>
      <c r="B8" s="4" t="s">
        <v>205</v>
      </c>
      <c r="C8" s="3" t="s">
        <v>62</v>
      </c>
      <c r="D8" s="1" t="s">
        <v>207</v>
      </c>
      <c r="E8" s="1" t="s">
        <v>63</v>
      </c>
      <c r="F8" s="1" t="s">
        <v>208</v>
      </c>
      <c r="G8" s="1" t="s">
        <v>209</v>
      </c>
      <c r="H8" s="1" t="s">
        <v>170</v>
      </c>
      <c r="I8" s="1" t="s">
        <v>210</v>
      </c>
      <c r="J8" s="1" t="s">
        <v>211</v>
      </c>
      <c r="K8" s="1" t="s">
        <v>212</v>
      </c>
      <c r="L8" s="1" t="s">
        <v>214</v>
      </c>
      <c r="M8" s="1" t="s">
        <v>215</v>
      </c>
      <c r="N8" s="1" t="s">
        <v>217</v>
      </c>
      <c r="O8" s="1" t="s">
        <v>218</v>
      </c>
    </row>
    <row r="9" spans="1:15" ht="12.95" customHeight="1" x14ac:dyDescent="0.2">
      <c r="A9" s="4" t="s">
        <v>246</v>
      </c>
      <c r="B9" s="4" t="s">
        <v>247</v>
      </c>
      <c r="C9" s="3" t="s">
        <v>62</v>
      </c>
      <c r="D9" s="1" t="s">
        <v>248</v>
      </c>
      <c r="E9" s="1" t="s">
        <v>63</v>
      </c>
      <c r="F9" s="1" t="s">
        <v>63</v>
      </c>
      <c r="G9" s="1" t="s">
        <v>63</v>
      </c>
      <c r="H9" s="1" t="s">
        <v>63</v>
      </c>
      <c r="I9" s="1" t="s">
        <v>63</v>
      </c>
      <c r="J9" s="1" t="s">
        <v>63</v>
      </c>
      <c r="K9" s="1" t="s">
        <v>63</v>
      </c>
      <c r="L9" s="1" t="s">
        <v>63</v>
      </c>
      <c r="M9" s="1" t="s">
        <v>63</v>
      </c>
      <c r="N9" s="1" t="s">
        <v>63</v>
      </c>
      <c r="O9" s="1" t="s">
        <v>249</v>
      </c>
    </row>
    <row r="10" spans="1:15" ht="12.95" customHeight="1" x14ac:dyDescent="0.2">
      <c r="A10" s="4" t="s">
        <v>254</v>
      </c>
      <c r="B10" s="4" t="s">
        <v>255</v>
      </c>
      <c r="C10" s="3" t="s">
        <v>62</v>
      </c>
      <c r="D10" s="1" t="s">
        <v>256</v>
      </c>
      <c r="E10" s="1" t="s">
        <v>63</v>
      </c>
      <c r="F10" s="1" t="s">
        <v>63</v>
      </c>
      <c r="G10" s="1" t="s">
        <v>63</v>
      </c>
      <c r="H10" s="1" t="s">
        <v>63</v>
      </c>
      <c r="I10" s="1" t="s">
        <v>63</v>
      </c>
      <c r="J10" s="1" t="s">
        <v>63</v>
      </c>
      <c r="K10" s="1" t="s">
        <v>63</v>
      </c>
      <c r="L10" s="1" t="s">
        <v>63</v>
      </c>
      <c r="M10" s="1" t="s">
        <v>63</v>
      </c>
      <c r="N10" s="1" t="s">
        <v>63</v>
      </c>
      <c r="O10" s="1" t="s">
        <v>257</v>
      </c>
    </row>
    <row r="11" spans="1:15" ht="12.95" customHeight="1" x14ac:dyDescent="0.2">
      <c r="A11" s="4" t="s">
        <v>260</v>
      </c>
      <c r="B11" s="4" t="s">
        <v>261</v>
      </c>
      <c r="C11" s="3" t="s">
        <v>62</v>
      </c>
      <c r="D11" s="1" t="s">
        <v>134</v>
      </c>
      <c r="E11" s="1" t="s">
        <v>63</v>
      </c>
      <c r="F11" s="1" t="s">
        <v>263</v>
      </c>
      <c r="G11" s="1" t="s">
        <v>264</v>
      </c>
      <c r="H11" s="1" t="s">
        <v>265</v>
      </c>
      <c r="I11" s="1" t="s">
        <v>266</v>
      </c>
      <c r="J11" s="1" t="s">
        <v>267</v>
      </c>
      <c r="K11" s="1" t="s">
        <v>268</v>
      </c>
      <c r="L11" s="1" t="s">
        <v>270</v>
      </c>
      <c r="M11" s="1" t="s">
        <v>271</v>
      </c>
      <c r="N11" s="1" t="s">
        <v>273</v>
      </c>
      <c r="O11" s="1" t="s">
        <v>274</v>
      </c>
    </row>
    <row r="12" spans="1:15" ht="12.95" customHeight="1" x14ac:dyDescent="0.2">
      <c r="A12" s="4" t="s">
        <v>305</v>
      </c>
      <c r="B12" s="4" t="s">
        <v>306</v>
      </c>
      <c r="C12" s="3" t="s">
        <v>62</v>
      </c>
      <c r="D12" s="1" t="s">
        <v>308</v>
      </c>
      <c r="E12" s="1" t="s">
        <v>309</v>
      </c>
      <c r="F12" s="1" t="s">
        <v>310</v>
      </c>
      <c r="G12" s="1" t="s">
        <v>311</v>
      </c>
      <c r="H12" s="1" t="s">
        <v>312</v>
      </c>
      <c r="I12" s="1" t="s">
        <v>313</v>
      </c>
      <c r="J12" s="1" t="s">
        <v>314</v>
      </c>
      <c r="K12" s="1" t="s">
        <v>315</v>
      </c>
      <c r="L12" s="1" t="s">
        <v>317</v>
      </c>
      <c r="M12" s="1" t="s">
        <v>318</v>
      </c>
      <c r="N12" s="1" t="s">
        <v>320</v>
      </c>
      <c r="O12" s="1" t="s">
        <v>321</v>
      </c>
    </row>
    <row r="13" spans="1:15" ht="12.95" customHeight="1" x14ac:dyDescent="0.2">
      <c r="A13" s="4" t="s">
        <v>352</v>
      </c>
      <c r="B13" s="4" t="s">
        <v>353</v>
      </c>
      <c r="C13" s="3" t="s">
        <v>62</v>
      </c>
      <c r="D13" s="1" t="s">
        <v>355</v>
      </c>
      <c r="E13" s="1" t="s">
        <v>63</v>
      </c>
      <c r="F13" s="1" t="s">
        <v>63</v>
      </c>
      <c r="G13" s="1" t="s">
        <v>63</v>
      </c>
      <c r="H13" s="1" t="s">
        <v>63</v>
      </c>
      <c r="I13" s="1" t="s">
        <v>63</v>
      </c>
      <c r="J13" s="1" t="s">
        <v>63</v>
      </c>
      <c r="K13" s="1" t="s">
        <v>63</v>
      </c>
      <c r="L13" s="1" t="s">
        <v>63</v>
      </c>
      <c r="M13" s="1" t="s">
        <v>63</v>
      </c>
      <c r="N13" s="1" t="s">
        <v>63</v>
      </c>
      <c r="O13" s="1" t="s">
        <v>356</v>
      </c>
    </row>
    <row r="14" spans="1:15" ht="12.95" customHeight="1" x14ac:dyDescent="0.2">
      <c r="A14" s="4" t="s">
        <v>364</v>
      </c>
      <c r="B14" s="4" t="s">
        <v>365</v>
      </c>
      <c r="C14" s="3" t="s">
        <v>62</v>
      </c>
      <c r="D14" s="1" t="s">
        <v>366</v>
      </c>
      <c r="E14" s="1" t="s">
        <v>63</v>
      </c>
      <c r="F14" s="1" t="s">
        <v>63</v>
      </c>
      <c r="G14" s="1" t="s">
        <v>63</v>
      </c>
      <c r="H14" s="1" t="s">
        <v>63</v>
      </c>
      <c r="I14" s="1" t="s">
        <v>63</v>
      </c>
      <c r="J14" s="1" t="s">
        <v>63</v>
      </c>
      <c r="K14" s="1" t="s">
        <v>63</v>
      </c>
      <c r="L14" s="1" t="s">
        <v>63</v>
      </c>
      <c r="M14" s="1" t="s">
        <v>63</v>
      </c>
      <c r="N14" s="1" t="s">
        <v>63</v>
      </c>
      <c r="O14" s="1" t="s">
        <v>367</v>
      </c>
    </row>
    <row r="15" spans="1:15" ht="12.95" customHeight="1" x14ac:dyDescent="0.2">
      <c r="A15" s="4" t="s">
        <v>371</v>
      </c>
      <c r="B15" s="4" t="s">
        <v>372</v>
      </c>
      <c r="C15" s="3" t="s">
        <v>62</v>
      </c>
      <c r="D15" s="1" t="s">
        <v>374</v>
      </c>
      <c r="E15" s="1" t="s">
        <v>375</v>
      </c>
      <c r="F15" s="1" t="s">
        <v>63</v>
      </c>
      <c r="G15" s="1" t="s">
        <v>63</v>
      </c>
      <c r="H15" s="1" t="s">
        <v>63</v>
      </c>
      <c r="I15" s="1" t="s">
        <v>63</v>
      </c>
      <c r="J15" s="1" t="s">
        <v>63</v>
      </c>
      <c r="K15" s="1" t="s">
        <v>63</v>
      </c>
      <c r="L15" s="1" t="s">
        <v>63</v>
      </c>
      <c r="M15" s="1" t="s">
        <v>63</v>
      </c>
      <c r="N15" s="1" t="s">
        <v>63</v>
      </c>
      <c r="O15" s="1" t="s">
        <v>148</v>
      </c>
    </row>
    <row r="16" spans="1:15" ht="12.95" customHeight="1" x14ac:dyDescent="0.2">
      <c r="A16" s="4" t="s">
        <v>383</v>
      </c>
      <c r="B16" s="4" t="s">
        <v>384</v>
      </c>
      <c r="C16" s="3" t="s">
        <v>62</v>
      </c>
      <c r="D16" s="1" t="s">
        <v>385</v>
      </c>
      <c r="E16" s="1" t="s">
        <v>63</v>
      </c>
      <c r="F16" s="1" t="s">
        <v>386</v>
      </c>
      <c r="G16" s="1" t="s">
        <v>387</v>
      </c>
      <c r="H16" s="1" t="s">
        <v>388</v>
      </c>
      <c r="I16" s="1" t="s">
        <v>389</v>
      </c>
      <c r="J16" s="1" t="s">
        <v>390</v>
      </c>
      <c r="K16" s="1" t="s">
        <v>391</v>
      </c>
      <c r="L16" s="1" t="s">
        <v>393</v>
      </c>
      <c r="M16" s="1" t="s">
        <v>394</v>
      </c>
      <c r="N16" s="1" t="s">
        <v>396</v>
      </c>
      <c r="O16" s="1" t="s">
        <v>397</v>
      </c>
    </row>
    <row r="17" spans="1:15" ht="12.95" customHeight="1" x14ac:dyDescent="0.2">
      <c r="A17" s="4" t="s">
        <v>418</v>
      </c>
      <c r="B17" s="4" t="s">
        <v>419</v>
      </c>
      <c r="C17" s="3" t="s">
        <v>62</v>
      </c>
      <c r="D17" s="1" t="s">
        <v>420</v>
      </c>
      <c r="E17" s="1" t="s">
        <v>63</v>
      </c>
      <c r="F17" s="1" t="s">
        <v>63</v>
      </c>
      <c r="G17" s="1" t="s">
        <v>63</v>
      </c>
      <c r="H17" s="1" t="s">
        <v>63</v>
      </c>
      <c r="I17" s="1" t="s">
        <v>63</v>
      </c>
      <c r="J17" s="1" t="s">
        <v>63</v>
      </c>
      <c r="K17" s="1" t="s">
        <v>63</v>
      </c>
      <c r="L17" s="1" t="s">
        <v>63</v>
      </c>
      <c r="M17" s="1" t="s">
        <v>63</v>
      </c>
      <c r="N17" s="1" t="s">
        <v>63</v>
      </c>
      <c r="O17" s="1" t="s">
        <v>421</v>
      </c>
    </row>
    <row r="18" spans="1:15" ht="12.95" customHeight="1" x14ac:dyDescent="0.2">
      <c r="A18" s="4" t="s">
        <v>424</v>
      </c>
      <c r="B18" s="4" t="s">
        <v>425</v>
      </c>
      <c r="C18" s="3" t="s">
        <v>62</v>
      </c>
      <c r="D18" s="1" t="s">
        <v>426</v>
      </c>
      <c r="E18" s="1" t="s">
        <v>63</v>
      </c>
      <c r="F18" s="1" t="s">
        <v>63</v>
      </c>
      <c r="G18" s="1" t="s">
        <v>63</v>
      </c>
      <c r="H18" s="1" t="s">
        <v>63</v>
      </c>
      <c r="I18" s="1" t="s">
        <v>63</v>
      </c>
      <c r="J18" s="1" t="s">
        <v>63</v>
      </c>
      <c r="K18" s="1" t="s">
        <v>63</v>
      </c>
      <c r="L18" s="1" t="s">
        <v>63</v>
      </c>
      <c r="M18" s="1" t="s">
        <v>63</v>
      </c>
      <c r="N18" s="1" t="s">
        <v>63</v>
      </c>
      <c r="O18" s="1" t="s">
        <v>427</v>
      </c>
    </row>
    <row r="19" spans="1:15" ht="12.95" customHeight="1" x14ac:dyDescent="0.2">
      <c r="A19" s="4" t="s">
        <v>430</v>
      </c>
      <c r="B19" s="4" t="s">
        <v>431</v>
      </c>
      <c r="C19" s="3" t="s">
        <v>62</v>
      </c>
      <c r="D19" s="1" t="s">
        <v>432</v>
      </c>
      <c r="E19" s="1" t="s">
        <v>63</v>
      </c>
      <c r="F19" s="1" t="s">
        <v>63</v>
      </c>
      <c r="G19" s="1" t="s">
        <v>63</v>
      </c>
      <c r="H19" s="1" t="s">
        <v>63</v>
      </c>
      <c r="I19" s="1" t="s">
        <v>63</v>
      </c>
      <c r="J19" s="1" t="s">
        <v>63</v>
      </c>
      <c r="K19" s="1" t="s">
        <v>63</v>
      </c>
      <c r="L19" s="1" t="s">
        <v>63</v>
      </c>
      <c r="M19" s="1" t="s">
        <v>63</v>
      </c>
      <c r="N19" s="1" t="s">
        <v>63</v>
      </c>
      <c r="O19" s="1" t="s">
        <v>433</v>
      </c>
    </row>
    <row r="20" spans="1:15" ht="12.95" customHeight="1" x14ac:dyDescent="0.2">
      <c r="A20" s="4"/>
      <c r="B20" s="4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D21" s="14" t="s">
        <v>1</v>
      </c>
      <c r="E21" s="14" t="s">
        <v>2</v>
      </c>
      <c r="F21" s="14" t="s">
        <v>4</v>
      </c>
      <c r="G21" s="14" t="s">
        <v>6</v>
      </c>
      <c r="H21" s="14" t="s">
        <v>8</v>
      </c>
      <c r="I21" s="14" t="s">
        <v>10</v>
      </c>
      <c r="J21" s="14" t="s">
        <v>12</v>
      </c>
      <c r="K21" s="14" t="s">
        <v>14</v>
      </c>
      <c r="L21" s="14" t="s">
        <v>16</v>
      </c>
      <c r="M21" s="14" t="s">
        <v>18</v>
      </c>
      <c r="N21" s="14" t="s">
        <v>20</v>
      </c>
      <c r="O21" s="14" t="s">
        <v>1</v>
      </c>
    </row>
    <row r="22" spans="1:15" x14ac:dyDescent="0.2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x14ac:dyDescent="0.2">
      <c r="C23" t="s">
        <v>476</v>
      </c>
      <c r="E23" s="3" t="s">
        <v>3</v>
      </c>
      <c r="F23" s="3" t="s">
        <v>5</v>
      </c>
      <c r="G23" s="3" t="s">
        <v>7</v>
      </c>
      <c r="H23" s="3" t="s">
        <v>9</v>
      </c>
      <c r="I23" s="3" t="s">
        <v>11</v>
      </c>
      <c r="J23" s="3" t="s">
        <v>13</v>
      </c>
      <c r="K23" s="3" t="s">
        <v>15</v>
      </c>
      <c r="L23" s="3" t="s">
        <v>17</v>
      </c>
      <c r="M23" s="3" t="s">
        <v>19</v>
      </c>
      <c r="N23" s="3" t="s">
        <v>21</v>
      </c>
    </row>
    <row r="24" spans="1:15" x14ac:dyDescent="0.2">
      <c r="C24" t="s">
        <v>477</v>
      </c>
      <c r="D24" s="3">
        <v>1</v>
      </c>
      <c r="E24" s="3">
        <v>40</v>
      </c>
      <c r="F24" s="3">
        <v>40</v>
      </c>
      <c r="G24" s="3">
        <v>40</v>
      </c>
      <c r="H24" s="3">
        <v>40</v>
      </c>
      <c r="I24" s="3">
        <v>40</v>
      </c>
      <c r="J24" s="3">
        <v>40</v>
      </c>
      <c r="K24" s="3">
        <v>40</v>
      </c>
      <c r="L24" s="3">
        <v>40</v>
      </c>
      <c r="M24" s="3">
        <v>40</v>
      </c>
      <c r="N24" s="3">
        <v>40</v>
      </c>
      <c r="O24" s="3">
        <v>1</v>
      </c>
    </row>
    <row r="25" spans="1:15" x14ac:dyDescent="0.2">
      <c r="C25" t="s">
        <v>478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C26" t="s">
        <v>479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8" spans="1:15" ht="33.75" x14ac:dyDescent="0.2">
      <c r="A28" s="13"/>
      <c r="B28" s="13"/>
      <c r="C28" s="13"/>
      <c r="D28" s="4" t="s">
        <v>25</v>
      </c>
      <c r="E28" s="4" t="s">
        <v>26</v>
      </c>
      <c r="F28" s="4" t="s">
        <v>27</v>
      </c>
      <c r="G28" s="4" t="s">
        <v>28</v>
      </c>
      <c r="H28" s="4" t="s">
        <v>29</v>
      </c>
      <c r="I28" s="4" t="s">
        <v>30</v>
      </c>
      <c r="J28" s="4" t="s">
        <v>31</v>
      </c>
      <c r="K28" s="4" t="s">
        <v>32</v>
      </c>
      <c r="L28" s="4" t="s">
        <v>34</v>
      </c>
      <c r="M28" s="4" t="s">
        <v>35</v>
      </c>
      <c r="N28" s="4" t="s">
        <v>37</v>
      </c>
      <c r="O28" s="4" t="s">
        <v>25</v>
      </c>
    </row>
    <row r="29" spans="1:15" x14ac:dyDescent="0.2">
      <c r="A29" s="4" t="s">
        <v>79</v>
      </c>
      <c r="B29" s="4" t="s">
        <v>80</v>
      </c>
      <c r="C29" s="3" t="s">
        <v>443</v>
      </c>
      <c r="D29" s="1">
        <v>459</v>
      </c>
      <c r="E29" s="1">
        <v>3.883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396.7</v>
      </c>
    </row>
    <row r="30" spans="1:15" x14ac:dyDescent="0.2">
      <c r="A30" s="4" t="s">
        <v>89</v>
      </c>
      <c r="B30" s="4" t="s">
        <v>90</v>
      </c>
      <c r="C30" s="3" t="s">
        <v>443</v>
      </c>
      <c r="D30" s="1">
        <v>249.8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217.6</v>
      </c>
    </row>
    <row r="31" spans="1:15" x14ac:dyDescent="0.2">
      <c r="A31" s="4" t="s">
        <v>100</v>
      </c>
      <c r="B31" s="4" t="s">
        <v>101</v>
      </c>
      <c r="C31" s="3" t="s">
        <v>443</v>
      </c>
      <c r="D31" s="1">
        <v>418.3</v>
      </c>
      <c r="E31" s="1">
        <v>126.4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361.4</v>
      </c>
    </row>
    <row r="32" spans="1:15" x14ac:dyDescent="0.2">
      <c r="A32" s="4" t="s">
        <v>119</v>
      </c>
      <c r="B32" s="4" t="s">
        <v>120</v>
      </c>
      <c r="C32" s="3" t="s">
        <v>443</v>
      </c>
      <c r="D32" s="1">
        <v>423.9</v>
      </c>
      <c r="E32" s="1">
        <v>2.8069999999999999</v>
      </c>
      <c r="F32" s="1">
        <v>4.3840000000000003</v>
      </c>
      <c r="G32" s="1">
        <v>4.1059999999999999</v>
      </c>
      <c r="H32" s="1">
        <v>4.0999999999999996</v>
      </c>
      <c r="I32" s="1">
        <v>4.1710000000000003</v>
      </c>
      <c r="J32" s="1">
        <v>3.92</v>
      </c>
      <c r="K32" s="1">
        <v>4.7930000000000001</v>
      </c>
      <c r="L32" s="1">
        <v>4.2839999999999998</v>
      </c>
      <c r="M32" s="1">
        <v>4.5949999999999998</v>
      </c>
      <c r="N32" s="1">
        <v>3.4430000000000001</v>
      </c>
      <c r="O32" s="1">
        <v>365.3</v>
      </c>
    </row>
    <row r="33" spans="1:15" x14ac:dyDescent="0.2">
      <c r="A33" s="4" t="s">
        <v>146</v>
      </c>
      <c r="B33" s="4" t="s">
        <v>147</v>
      </c>
      <c r="C33" s="3" t="s">
        <v>443</v>
      </c>
      <c r="D33" s="1">
        <v>232.2</v>
      </c>
      <c r="E33" s="1">
        <v>2.8860000000000001</v>
      </c>
      <c r="F33" s="1">
        <v>27.9</v>
      </c>
      <c r="G33" s="1">
        <v>27.31</v>
      </c>
      <c r="H33" s="1">
        <v>26.41</v>
      </c>
      <c r="I33" s="1">
        <v>27.14</v>
      </c>
      <c r="J33" s="1">
        <v>24.74</v>
      </c>
      <c r="K33" s="1">
        <v>30.76</v>
      </c>
      <c r="L33" s="1">
        <v>28.03</v>
      </c>
      <c r="M33" s="1">
        <v>29.28</v>
      </c>
      <c r="N33" s="1">
        <v>24.84</v>
      </c>
      <c r="O33" s="1">
        <v>201.6</v>
      </c>
    </row>
    <row r="34" spans="1:15" x14ac:dyDescent="0.2">
      <c r="A34" s="4" t="s">
        <v>187</v>
      </c>
      <c r="B34" s="4" t="s">
        <v>188</v>
      </c>
      <c r="C34" s="3" t="s">
        <v>443</v>
      </c>
      <c r="D34" s="1">
        <v>228.4</v>
      </c>
      <c r="E34" s="1">
        <v>93.16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199.3</v>
      </c>
    </row>
    <row r="35" spans="1:15" x14ac:dyDescent="0.2">
      <c r="A35" s="4" t="s">
        <v>204</v>
      </c>
      <c r="B35" s="4" t="s">
        <v>205</v>
      </c>
      <c r="C35" s="3" t="s">
        <v>443</v>
      </c>
      <c r="D35" s="1">
        <v>225.1</v>
      </c>
      <c r="E35" s="1">
        <v>0</v>
      </c>
      <c r="F35" s="1">
        <v>5.51</v>
      </c>
      <c r="G35" s="1">
        <v>5.1310000000000002</v>
      </c>
      <c r="H35" s="1">
        <v>4.7089999999999996</v>
      </c>
      <c r="I35" s="1">
        <v>5.1580000000000004</v>
      </c>
      <c r="J35" s="1">
        <v>4.8579999999999997</v>
      </c>
      <c r="K35" s="1">
        <v>5.6980000000000004</v>
      </c>
      <c r="L35" s="1">
        <v>5.335</v>
      </c>
      <c r="M35" s="1">
        <v>5.9379999999999997</v>
      </c>
      <c r="N35" s="1">
        <v>4.649</v>
      </c>
      <c r="O35" s="1">
        <v>197.4</v>
      </c>
    </row>
    <row r="36" spans="1:15" x14ac:dyDescent="0.2">
      <c r="A36" s="4" t="s">
        <v>246</v>
      </c>
      <c r="B36" s="4" t="s">
        <v>247</v>
      </c>
      <c r="C36" s="3" t="s">
        <v>443</v>
      </c>
      <c r="D36" s="1">
        <v>406.5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352.2</v>
      </c>
    </row>
    <row r="37" spans="1:15" x14ac:dyDescent="0.2">
      <c r="A37" s="4" t="s">
        <v>254</v>
      </c>
      <c r="B37" s="4" t="s">
        <v>255</v>
      </c>
      <c r="C37" s="3" t="s">
        <v>443</v>
      </c>
      <c r="D37" s="1">
        <v>554.70000000000005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483.3</v>
      </c>
    </row>
    <row r="38" spans="1:15" x14ac:dyDescent="0.2">
      <c r="A38" s="4" t="s">
        <v>260</v>
      </c>
      <c r="B38" s="4" t="s">
        <v>261</v>
      </c>
      <c r="C38" s="3" t="s">
        <v>443</v>
      </c>
      <c r="D38" s="1">
        <v>525.20000000000005</v>
      </c>
      <c r="E38" s="1">
        <v>0</v>
      </c>
      <c r="F38" s="1">
        <v>10.83</v>
      </c>
      <c r="G38" s="1">
        <v>10.55</v>
      </c>
      <c r="H38" s="1">
        <v>8.8580000000000005</v>
      </c>
      <c r="I38" s="1">
        <v>9.6189999999999998</v>
      </c>
      <c r="J38" s="1">
        <v>9.6950000000000003</v>
      </c>
      <c r="K38" s="1">
        <v>10.98</v>
      </c>
      <c r="L38" s="1">
        <v>10.65</v>
      </c>
      <c r="M38" s="1">
        <v>10.46</v>
      </c>
      <c r="N38" s="1">
        <v>8.5289999999999999</v>
      </c>
      <c r="O38" s="1">
        <v>458.2</v>
      </c>
    </row>
    <row r="39" spans="1:15" x14ac:dyDescent="0.2">
      <c r="A39" s="4" t="s">
        <v>305</v>
      </c>
      <c r="B39" s="4" t="s">
        <v>306</v>
      </c>
      <c r="C39" s="3" t="s">
        <v>443</v>
      </c>
      <c r="D39" s="1">
        <v>199.4</v>
      </c>
      <c r="E39" s="1">
        <v>58.59</v>
      </c>
      <c r="F39" s="1">
        <v>658.4</v>
      </c>
      <c r="G39" s="1">
        <v>634.4</v>
      </c>
      <c r="H39" s="1">
        <v>608.4</v>
      </c>
      <c r="I39" s="1">
        <v>628.20000000000005</v>
      </c>
      <c r="J39" s="1">
        <v>580.20000000000005</v>
      </c>
      <c r="K39" s="1">
        <v>715.6</v>
      </c>
      <c r="L39" s="1">
        <v>649.9</v>
      </c>
      <c r="M39" s="1">
        <v>678.8</v>
      </c>
      <c r="N39" s="1">
        <v>584.5</v>
      </c>
      <c r="O39" s="1">
        <v>173.5</v>
      </c>
    </row>
    <row r="40" spans="1:15" x14ac:dyDescent="0.2">
      <c r="A40" s="4" t="s">
        <v>352</v>
      </c>
      <c r="B40" s="4" t="s">
        <v>353</v>
      </c>
      <c r="C40" s="3" t="s">
        <v>443</v>
      </c>
      <c r="D40" s="1">
        <v>188.4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163.6</v>
      </c>
    </row>
    <row r="41" spans="1:15" x14ac:dyDescent="0.2">
      <c r="A41" s="4" t="s">
        <v>364</v>
      </c>
      <c r="B41" s="4" t="s">
        <v>365</v>
      </c>
      <c r="C41" s="3" t="s">
        <v>443</v>
      </c>
      <c r="D41" s="1">
        <v>184.3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159.5</v>
      </c>
    </row>
    <row r="42" spans="1:15" x14ac:dyDescent="0.2">
      <c r="A42" s="4" t="s">
        <v>371</v>
      </c>
      <c r="B42" s="4" t="s">
        <v>372</v>
      </c>
      <c r="C42" s="3" t="s">
        <v>443</v>
      </c>
      <c r="D42" s="1">
        <v>380.4</v>
      </c>
      <c r="E42" s="1">
        <v>106.9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329.2</v>
      </c>
    </row>
    <row r="43" spans="1:15" x14ac:dyDescent="0.2">
      <c r="A43" s="4" t="s">
        <v>383</v>
      </c>
      <c r="B43" s="4" t="s">
        <v>384</v>
      </c>
      <c r="C43" s="3" t="s">
        <v>443</v>
      </c>
      <c r="D43" s="1">
        <v>500</v>
      </c>
      <c r="E43" s="1">
        <v>0</v>
      </c>
      <c r="F43" s="1">
        <v>21.33</v>
      </c>
      <c r="G43" s="1">
        <v>20.62</v>
      </c>
      <c r="H43" s="1">
        <v>17.059999999999999</v>
      </c>
      <c r="I43" s="1">
        <v>17.760000000000002</v>
      </c>
      <c r="J43" s="1">
        <v>16.28</v>
      </c>
      <c r="K43" s="1">
        <v>20.21</v>
      </c>
      <c r="L43" s="1">
        <v>21.08</v>
      </c>
      <c r="M43" s="1">
        <v>19.12</v>
      </c>
      <c r="N43" s="1">
        <v>16.57</v>
      </c>
      <c r="O43" s="1">
        <v>435.1</v>
      </c>
    </row>
    <row r="44" spans="1:15" x14ac:dyDescent="0.2">
      <c r="A44" s="4" t="s">
        <v>418</v>
      </c>
      <c r="B44" s="4" t="s">
        <v>419</v>
      </c>
      <c r="C44" s="3" t="s">
        <v>443</v>
      </c>
      <c r="D44" s="1">
        <v>187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161.80000000000001</v>
      </c>
    </row>
    <row r="45" spans="1:15" x14ac:dyDescent="0.2">
      <c r="A45" s="4" t="s">
        <v>424</v>
      </c>
      <c r="B45" s="4" t="s">
        <v>425</v>
      </c>
      <c r="C45" s="3" t="s">
        <v>443</v>
      </c>
      <c r="D45" s="1">
        <v>411.2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355.1</v>
      </c>
    </row>
    <row r="46" spans="1:15" x14ac:dyDescent="0.2">
      <c r="A46" s="4" t="s">
        <v>430</v>
      </c>
      <c r="B46" s="4" t="s">
        <v>431</v>
      </c>
      <c r="C46" s="3" t="s">
        <v>443</v>
      </c>
      <c r="D46" s="1">
        <v>202.4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177.4</v>
      </c>
    </row>
    <row r="47" spans="1:15" x14ac:dyDescent="0.2">
      <c r="A47" s="4"/>
      <c r="B47" s="4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</sheetData>
  <mergeCells count="14">
    <mergeCell ref="M21:M22"/>
    <mergeCell ref="A1:C1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N21:N22"/>
    <mergeCell ref="O21:O22"/>
    <mergeCell ref="A28:C28"/>
  </mergeCells>
  <conditionalFormatting sqref="D29:O29">
    <cfRule type="cellIs" dxfId="35" priority="35" operator="lessThan">
      <formula>1474.69995117187</formula>
    </cfRule>
    <cfRule type="cellIs" dxfId="34" priority="36" operator="greaterThan">
      <formula>1474.69995117187</formula>
    </cfRule>
  </conditionalFormatting>
  <conditionalFormatting sqref="D30:O30">
    <cfRule type="cellIs" dxfId="33" priority="33" operator="lessThan">
      <formula>854.890014648437</formula>
    </cfRule>
    <cfRule type="cellIs" dxfId="32" priority="34" operator="greaterThan">
      <formula>854.890014648437</formula>
    </cfRule>
  </conditionalFormatting>
  <conditionalFormatting sqref="D31:O31">
    <cfRule type="cellIs" dxfId="31" priority="31" operator="lessThan">
      <formula>5328.7998046875</formula>
    </cfRule>
    <cfRule type="cellIs" dxfId="30" priority="32" operator="greaterThan">
      <formula>5328.7998046875</formula>
    </cfRule>
  </conditionalFormatting>
  <conditionalFormatting sqref="D32:O32">
    <cfRule type="cellIs" dxfId="29" priority="29" operator="lessThan">
      <formula>1403.40002441406</formula>
    </cfRule>
    <cfRule type="cellIs" dxfId="28" priority="30" operator="greaterThan">
      <formula>1403.40002441406</formula>
    </cfRule>
  </conditionalFormatting>
  <conditionalFormatting sqref="D33:O33">
    <cfRule type="cellIs" dxfId="27" priority="27" operator="lessThan">
      <formula>792.400024414062</formula>
    </cfRule>
    <cfRule type="cellIs" dxfId="26" priority="28" operator="greaterThan">
      <formula>792.400024414062</formula>
    </cfRule>
  </conditionalFormatting>
  <conditionalFormatting sqref="D34:O34">
    <cfRule type="cellIs" dxfId="25" priority="25" operator="lessThan">
      <formula>3005.80004882812</formula>
    </cfRule>
    <cfRule type="cellIs" dxfId="24" priority="26" operator="greaterThan">
      <formula>3005.80004882812</formula>
    </cfRule>
  </conditionalFormatting>
  <conditionalFormatting sqref="D35:O35">
    <cfRule type="cellIs" dxfId="23" priority="23" operator="lessThan">
      <formula>749.619995117187</formula>
    </cfRule>
    <cfRule type="cellIs" dxfId="22" priority="24" operator="greaterThan">
      <formula>749.619995117187</formula>
    </cfRule>
  </conditionalFormatting>
  <conditionalFormatting sqref="D36:O36">
    <cfRule type="cellIs" dxfId="21" priority="21" operator="lessThan">
      <formula>1338.5</formula>
    </cfRule>
    <cfRule type="cellIs" dxfId="20" priority="22" operator="greaterThan">
      <formula>1338.5</formula>
    </cfRule>
  </conditionalFormatting>
  <conditionalFormatting sqref="D37:O37">
    <cfRule type="cellIs" dxfId="19" priority="19" operator="lessThan">
      <formula>1705.30004882812</formula>
    </cfRule>
    <cfRule type="cellIs" dxfId="18" priority="20" operator="greaterThan">
      <formula>1705.30004882812</formula>
    </cfRule>
  </conditionalFormatting>
  <conditionalFormatting sqref="D38:O38">
    <cfRule type="cellIs" dxfId="17" priority="17" operator="lessThan">
      <formula>7009.5</formula>
    </cfRule>
    <cfRule type="cellIs" dxfId="16" priority="18" operator="greaterThan">
      <formula>7009.5</formula>
    </cfRule>
  </conditionalFormatting>
  <conditionalFormatting sqref="D39:O39">
    <cfRule type="cellIs" dxfId="15" priority="15" operator="lessThan">
      <formula>2698.10009765625</formula>
    </cfRule>
    <cfRule type="cellIs" dxfId="14" priority="16" operator="greaterThan">
      <formula>2698.10009765625</formula>
    </cfRule>
  </conditionalFormatting>
  <conditionalFormatting sqref="D40:O40">
    <cfRule type="cellIs" dxfId="13" priority="13" operator="lessThan">
      <formula>640.330017089844</formula>
    </cfRule>
    <cfRule type="cellIs" dxfId="12" priority="14" operator="greaterThan">
      <formula>640.330017089844</formula>
    </cfRule>
  </conditionalFormatting>
  <conditionalFormatting sqref="D41:O41">
    <cfRule type="cellIs" dxfId="11" priority="11" operator="lessThan">
      <formula>724.299987792969</formula>
    </cfRule>
    <cfRule type="cellIs" dxfId="10" priority="12" operator="greaterThan">
      <formula>724.299987792969</formula>
    </cfRule>
  </conditionalFormatting>
  <conditionalFormatting sqref="D42:O42">
    <cfRule type="cellIs" dxfId="9" priority="9" operator="lessThan">
      <formula>4933.39990234375</formula>
    </cfRule>
    <cfRule type="cellIs" dxfId="8" priority="10" operator="greaterThan">
      <formula>4933.39990234375</formula>
    </cfRule>
  </conditionalFormatting>
  <conditionalFormatting sqref="D43:O43">
    <cfRule type="cellIs" dxfId="7" priority="7" operator="lessThan">
      <formula>1657.09997558594</formula>
    </cfRule>
    <cfRule type="cellIs" dxfId="6" priority="8" operator="greaterThan">
      <formula>1657.09997558594</formula>
    </cfRule>
  </conditionalFormatting>
  <conditionalFormatting sqref="D44:O44">
    <cfRule type="cellIs" dxfId="5" priority="5" operator="lessThan">
      <formula>481.320007324219</formula>
    </cfRule>
    <cfRule type="cellIs" dxfId="4" priority="6" operator="greaterThan">
      <formula>481.320007324219</formula>
    </cfRule>
  </conditionalFormatting>
  <conditionalFormatting sqref="D45:O45">
    <cfRule type="cellIs" dxfId="3" priority="3" operator="lessThan">
      <formula>709.940002441406</formula>
    </cfRule>
    <cfRule type="cellIs" dxfId="2" priority="4" operator="greaterThan">
      <formula>709.940002441406</formula>
    </cfRule>
  </conditionalFormatting>
  <conditionalFormatting sqref="D46:O46">
    <cfRule type="cellIs" dxfId="1" priority="1" operator="lessThan">
      <formula>674.890014648437</formula>
    </cfRule>
    <cfRule type="cellIs" dxfId="0" priority="2" operator="greaterThan">
      <formula>674.890014648437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D91D-9AD3-4778-BEF4-BA0C068C3677}">
  <dimension ref="A1:K13"/>
  <sheetViews>
    <sheetView workbookViewId="0"/>
  </sheetViews>
  <sheetFormatPr defaultRowHeight="14.25" x14ac:dyDescent="0.2"/>
  <cols>
    <col min="1" max="1" width="7.625" bestFit="1" customWidth="1"/>
    <col min="2" max="3" width="13" bestFit="1" customWidth="1"/>
    <col min="4" max="5" width="8.875" bestFit="1" customWidth="1"/>
    <col min="6" max="7" width="8.125" bestFit="1" customWidth="1"/>
    <col min="8" max="9" width="12.25" bestFit="1" customWidth="1"/>
    <col min="10" max="10" width="11.875" bestFit="1" customWidth="1"/>
    <col min="11" max="11" width="6.125" bestFit="1" customWidth="1"/>
  </cols>
  <sheetData>
    <row r="1" spans="1:11" x14ac:dyDescent="0.2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  <c r="H1" t="s">
        <v>468</v>
      </c>
      <c r="I1" t="s">
        <v>469</v>
      </c>
      <c r="J1" t="s">
        <v>470</v>
      </c>
      <c r="K1" t="s">
        <v>471</v>
      </c>
    </row>
    <row r="2" spans="1:11" x14ac:dyDescent="0.2">
      <c r="A2" t="s">
        <v>101</v>
      </c>
      <c r="B2" t="s">
        <v>4</v>
      </c>
      <c r="C2" t="s">
        <v>472</v>
      </c>
      <c r="D2">
        <v>0</v>
      </c>
      <c r="E2">
        <v>0</v>
      </c>
      <c r="F2">
        <v>990.9</v>
      </c>
      <c r="G2">
        <v>1021</v>
      </c>
      <c r="H2">
        <v>0</v>
      </c>
      <c r="I2">
        <v>0</v>
      </c>
      <c r="J2">
        <v>0</v>
      </c>
      <c r="K2" s="12" t="s">
        <v>473</v>
      </c>
    </row>
    <row r="3" spans="1:11" x14ac:dyDescent="0.2">
      <c r="A3" t="s">
        <v>188</v>
      </c>
      <c r="B3" t="s">
        <v>4</v>
      </c>
      <c r="C3" t="s">
        <v>472</v>
      </c>
      <c r="D3">
        <v>0</v>
      </c>
      <c r="E3">
        <v>0</v>
      </c>
      <c r="F3">
        <v>990.9</v>
      </c>
      <c r="G3">
        <v>1021</v>
      </c>
      <c r="H3">
        <v>0</v>
      </c>
      <c r="I3">
        <v>0</v>
      </c>
      <c r="J3">
        <v>0</v>
      </c>
      <c r="K3" s="12" t="s">
        <v>473</v>
      </c>
    </row>
    <row r="4" spans="1:11" x14ac:dyDescent="0.2">
      <c r="A4" t="s">
        <v>306</v>
      </c>
      <c r="B4" t="s">
        <v>4</v>
      </c>
      <c r="C4" t="s">
        <v>472</v>
      </c>
      <c r="D4">
        <v>3.0310000000000001</v>
      </c>
      <c r="E4">
        <v>3.1349999999999998</v>
      </c>
      <c r="F4">
        <v>990.9</v>
      </c>
      <c r="G4">
        <v>1021</v>
      </c>
      <c r="H4">
        <v>3.058835402159653E-3</v>
      </c>
      <c r="I4">
        <v>3.0705190989226247E-3</v>
      </c>
      <c r="J4">
        <v>0.38123742919123677</v>
      </c>
      <c r="K4" s="12" t="s">
        <v>473</v>
      </c>
    </row>
    <row r="5" spans="1:11" x14ac:dyDescent="0.2">
      <c r="A5" t="s">
        <v>372</v>
      </c>
      <c r="B5" t="s">
        <v>4</v>
      </c>
      <c r="C5" t="s">
        <v>472</v>
      </c>
      <c r="D5">
        <v>0</v>
      </c>
      <c r="E5">
        <v>0</v>
      </c>
      <c r="F5">
        <v>990.9</v>
      </c>
      <c r="G5">
        <v>1021</v>
      </c>
      <c r="H5">
        <v>0</v>
      </c>
      <c r="I5">
        <v>0</v>
      </c>
      <c r="J5">
        <v>0</v>
      </c>
      <c r="K5" s="12" t="s">
        <v>473</v>
      </c>
    </row>
    <row r="6" spans="1:11" x14ac:dyDescent="0.2">
      <c r="A6" t="s">
        <v>101</v>
      </c>
      <c r="B6" t="s">
        <v>22</v>
      </c>
      <c r="C6" t="s">
        <v>474</v>
      </c>
      <c r="D6">
        <v>5.3860000000000002E-3</v>
      </c>
      <c r="E6">
        <v>5.1089999999999998E-3</v>
      </c>
      <c r="F6">
        <v>19403.5</v>
      </c>
      <c r="G6">
        <v>19587.099999999999</v>
      </c>
      <c r="H6">
        <v>2.7757878733218236E-7</v>
      </c>
      <c r="I6">
        <v>2.6083493728014869E-7</v>
      </c>
      <c r="J6">
        <v>6.2196965963635469</v>
      </c>
      <c r="K6" s="12" t="s">
        <v>473</v>
      </c>
    </row>
    <row r="7" spans="1:11" x14ac:dyDescent="0.2">
      <c r="A7" t="s">
        <v>188</v>
      </c>
      <c r="B7" t="s">
        <v>22</v>
      </c>
      <c r="C7" t="s">
        <v>474</v>
      </c>
      <c r="D7">
        <v>1.5980000000000001E-2</v>
      </c>
      <c r="E7">
        <v>1.519E-2</v>
      </c>
      <c r="F7">
        <v>19403.5</v>
      </c>
      <c r="G7">
        <v>19587.099999999999</v>
      </c>
      <c r="H7">
        <v>8.2356275929600334E-7</v>
      </c>
      <c r="I7">
        <v>7.755104124653472E-7</v>
      </c>
      <c r="J7">
        <v>6.0100247667500222</v>
      </c>
      <c r="K7" s="12" t="s">
        <v>473</v>
      </c>
    </row>
    <row r="8" spans="1:11" x14ac:dyDescent="0.2">
      <c r="A8" t="s">
        <v>306</v>
      </c>
      <c r="B8" t="s">
        <v>22</v>
      </c>
      <c r="C8" t="s">
        <v>474</v>
      </c>
      <c r="D8">
        <v>5.3259999999999996</v>
      </c>
      <c r="E8">
        <v>5.0049999999999999</v>
      </c>
      <c r="F8">
        <v>19403.5</v>
      </c>
      <c r="G8">
        <v>19587.099999999999</v>
      </c>
      <c r="H8">
        <v>2.7448656170278558E-4</v>
      </c>
      <c r="I8">
        <v>2.5552532023627797E-4</v>
      </c>
      <c r="J8">
        <v>7.1550250523204735</v>
      </c>
      <c r="K8" s="12" t="s">
        <v>473</v>
      </c>
    </row>
    <row r="9" spans="1:11" x14ac:dyDescent="0.2">
      <c r="A9" t="s">
        <v>372</v>
      </c>
      <c r="B9" t="s">
        <v>22</v>
      </c>
      <c r="C9" t="s">
        <v>474</v>
      </c>
      <c r="D9">
        <v>0</v>
      </c>
      <c r="E9">
        <v>0</v>
      </c>
      <c r="F9">
        <v>19403.5</v>
      </c>
      <c r="G9">
        <v>19587.099999999999</v>
      </c>
      <c r="H9">
        <v>0</v>
      </c>
      <c r="I9">
        <v>0</v>
      </c>
      <c r="J9">
        <v>0</v>
      </c>
      <c r="K9" s="12" t="s">
        <v>473</v>
      </c>
    </row>
    <row r="10" spans="1:11" x14ac:dyDescent="0.2">
      <c r="A10" t="s">
        <v>101</v>
      </c>
      <c r="B10" t="s">
        <v>23</v>
      </c>
      <c r="C10" t="s">
        <v>475</v>
      </c>
      <c r="D10">
        <v>0</v>
      </c>
      <c r="E10">
        <v>0</v>
      </c>
      <c r="F10">
        <v>924.2</v>
      </c>
      <c r="G10">
        <v>1073.5999999999999</v>
      </c>
      <c r="H10">
        <v>0</v>
      </c>
      <c r="I10">
        <v>0</v>
      </c>
      <c r="J10">
        <v>0</v>
      </c>
      <c r="K10" s="12" t="s">
        <v>473</v>
      </c>
    </row>
    <row r="11" spans="1:11" x14ac:dyDescent="0.2">
      <c r="A11" t="s">
        <v>188</v>
      </c>
      <c r="B11" t="s">
        <v>23</v>
      </c>
      <c r="C11" t="s">
        <v>475</v>
      </c>
      <c r="D11">
        <v>0</v>
      </c>
      <c r="E11">
        <v>0</v>
      </c>
      <c r="F11">
        <v>924.2</v>
      </c>
      <c r="G11">
        <v>1073.5999999999999</v>
      </c>
      <c r="H11">
        <v>0</v>
      </c>
      <c r="I11">
        <v>0</v>
      </c>
      <c r="J11">
        <v>0</v>
      </c>
      <c r="K11" s="12" t="s">
        <v>473</v>
      </c>
    </row>
    <row r="12" spans="1:11" x14ac:dyDescent="0.2">
      <c r="A12" t="s">
        <v>306</v>
      </c>
      <c r="B12" t="s">
        <v>23</v>
      </c>
      <c r="C12" t="s">
        <v>475</v>
      </c>
      <c r="D12">
        <v>3.3769999999999998</v>
      </c>
      <c r="E12">
        <v>4.0289999999999999</v>
      </c>
      <c r="F12">
        <v>924.2</v>
      </c>
      <c r="G12">
        <v>1073.5999999999999</v>
      </c>
      <c r="H12">
        <v>3.6539710019476298E-3</v>
      </c>
      <c r="I12">
        <v>3.7527943368107306E-3</v>
      </c>
      <c r="J12">
        <v>2.6684613415784866</v>
      </c>
      <c r="K12" s="12" t="s">
        <v>473</v>
      </c>
    </row>
    <row r="13" spans="1:11" x14ac:dyDescent="0.2">
      <c r="A13" t="s">
        <v>372</v>
      </c>
      <c r="B13" t="s">
        <v>23</v>
      </c>
      <c r="C13" t="s">
        <v>475</v>
      </c>
      <c r="D13">
        <v>0</v>
      </c>
      <c r="E13">
        <v>0</v>
      </c>
      <c r="F13">
        <v>924.2</v>
      </c>
      <c r="G13">
        <v>1073.5999999999999</v>
      </c>
      <c r="H13">
        <v>0</v>
      </c>
      <c r="I13">
        <v>0</v>
      </c>
      <c r="J13">
        <v>0</v>
      </c>
      <c r="K13" s="12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QC check</vt:lpstr>
      <vt:lpstr>Area check</vt:lpstr>
      <vt:lpstr>ISTD Variance</vt:lpstr>
      <vt:lpstr>Blank Spike Recovery</vt:lpstr>
      <vt:lpstr>Results Transfer</vt:lpstr>
      <vt:lpstr>RPD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 Saldarreaga</cp:lastModifiedBy>
  <dcterms:created xsi:type="dcterms:W3CDTF">2025-09-25T15:17:41Z</dcterms:created>
  <dcterms:modified xsi:type="dcterms:W3CDTF">2025-09-26T22:42:37Z</dcterms:modified>
</cp:coreProperties>
</file>